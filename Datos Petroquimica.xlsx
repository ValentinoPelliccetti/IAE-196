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6.xml" ContentType="application/vnd.openxmlformats-officedocument.drawingml.char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len\Desktop\Uni\PPS\IAE Petroquimica\"/>
    </mc:Choice>
  </mc:AlternateContent>
  <xr:revisionPtr revIDLastSave="0" documentId="13_ncr:1_{B8AF0716-098F-48C9-93BD-BFDC6208E891}" xr6:coauthVersionLast="47" xr6:coauthVersionMax="47" xr10:uidLastSave="{00000000-0000-0000-0000-000000000000}"/>
  <bookViews>
    <workbookView xWindow="28680" yWindow="-120" windowWidth="29040" windowHeight="15840" firstSheet="3" activeTab="4" xr2:uid="{00000000-000D-0000-FFFF-FFFF00000000}"/>
  </bookViews>
  <sheets>
    <sheet name="Produccion" sheetId="1" r:id="rId1"/>
    <sheet name="Capacidad instalada 2024" sheetId="2" r:id="rId2"/>
    <sheet name="Capacidad instalada 2021" sheetId="3" r:id="rId3"/>
    <sheet name="Produccion local vs nacional" sheetId="4" r:id="rId4"/>
    <sheet name="Impo y Expo" sheetId="5" r:id="rId5"/>
    <sheet name="Consumo aparente nacional" sheetId="6" r:id="rId6"/>
    <sheet name="Materias primas" sheetId="7" r:id="rId7"/>
    <sheet name="Clasificacion de bienes" sheetId="8" r:id="rId8"/>
    <sheet name="Capacidad instalada ind quim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RXr3Vd83pfJcuklT+cQhAJxfKZH4oJ5UBjDJ9rEXMZ4="/>
    </ext>
  </extLst>
</workbook>
</file>

<file path=xl/calcChain.xml><?xml version="1.0" encoding="utf-8"?>
<calcChain xmlns="http://schemas.openxmlformats.org/spreadsheetml/2006/main">
  <c r="H72" i="4" l="1"/>
  <c r="V27" i="4"/>
  <c r="L91" i="4"/>
  <c r="L90" i="4"/>
  <c r="L89" i="4"/>
  <c r="L88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72" i="4"/>
  <c r="L65" i="4"/>
  <c r="L66" i="4"/>
  <c r="L67" i="4"/>
  <c r="L68" i="4"/>
  <c r="L69" i="4"/>
  <c r="L70" i="4"/>
  <c r="L71" i="4"/>
  <c r="L64" i="4"/>
  <c r="L57" i="4"/>
  <c r="L58" i="4"/>
  <c r="L59" i="4"/>
  <c r="L60" i="4"/>
  <c r="L61" i="4"/>
  <c r="L62" i="4"/>
  <c r="L63" i="4"/>
  <c r="L56" i="4"/>
  <c r="H68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H57" i="4"/>
  <c r="H58" i="4"/>
  <c r="H59" i="4"/>
  <c r="H60" i="4"/>
  <c r="H61" i="4"/>
  <c r="H62" i="4"/>
  <c r="H63" i="4"/>
  <c r="H64" i="4"/>
  <c r="H65" i="4"/>
  <c r="H66" i="4"/>
  <c r="H67" i="4"/>
  <c r="H69" i="4"/>
  <c r="H70" i="4"/>
  <c r="H71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56" i="4"/>
  <c r="I56" i="4"/>
  <c r="AC520" i="5"/>
  <c r="AD520" i="5"/>
  <c r="AC521" i="5"/>
  <c r="AD521" i="5"/>
  <c r="AC522" i="5"/>
  <c r="AD522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D224" i="5"/>
  <c r="AD225" i="5"/>
  <c r="AD226" i="5"/>
  <c r="AD227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47" i="5"/>
  <c r="AD47" i="5"/>
  <c r="AC48" i="5"/>
  <c r="AD48" i="5"/>
  <c r="AC49" i="5"/>
  <c r="AD49" i="5"/>
  <c r="AC50" i="5"/>
  <c r="AD50" i="5"/>
  <c r="AC51" i="5"/>
  <c r="AD51" i="5"/>
  <c r="AC52" i="5"/>
  <c r="AD52" i="5"/>
  <c r="AC53" i="5"/>
  <c r="AD53" i="5"/>
  <c r="AC54" i="5"/>
  <c r="AD54" i="5"/>
  <c r="AC55" i="5"/>
  <c r="AD55" i="5"/>
  <c r="AC56" i="5"/>
  <c r="AD56" i="5"/>
  <c r="AC57" i="5"/>
  <c r="AD57" i="5"/>
  <c r="AC58" i="5"/>
  <c r="AD58" i="5"/>
  <c r="AC59" i="5"/>
  <c r="AD59" i="5"/>
  <c r="AC60" i="5"/>
  <c r="AD60" i="5"/>
  <c r="AC61" i="5"/>
  <c r="AD61" i="5"/>
  <c r="AC62" i="5"/>
  <c r="AD62" i="5"/>
  <c r="AC63" i="5"/>
  <c r="AD63" i="5"/>
  <c r="AC64" i="5"/>
  <c r="AD64" i="5"/>
  <c r="AC65" i="5"/>
  <c r="AD65" i="5"/>
  <c r="AC66" i="5"/>
  <c r="AD66" i="5"/>
  <c r="AC67" i="5"/>
  <c r="AD67" i="5"/>
  <c r="AC68" i="5"/>
  <c r="AD68" i="5"/>
  <c r="AC69" i="5"/>
  <c r="AD69" i="5"/>
  <c r="AC70" i="5"/>
  <c r="AD70" i="5"/>
  <c r="AC71" i="5"/>
  <c r="AD71" i="5"/>
  <c r="AC72" i="5"/>
  <c r="AD72" i="5"/>
  <c r="AC73" i="5"/>
  <c r="AD73" i="5"/>
  <c r="AC74" i="5"/>
  <c r="AD74" i="5"/>
  <c r="AC75" i="5"/>
  <c r="AD75" i="5"/>
  <c r="AC76" i="5"/>
  <c r="AD76" i="5"/>
  <c r="AC77" i="5"/>
  <c r="AD77" i="5"/>
  <c r="AC78" i="5"/>
  <c r="AD78" i="5"/>
  <c r="AC79" i="5"/>
  <c r="AD79" i="5"/>
  <c r="AC80" i="5"/>
  <c r="AD80" i="5"/>
  <c r="AC81" i="5"/>
  <c r="AD81" i="5"/>
  <c r="AC82" i="5"/>
  <c r="AD82" i="5"/>
  <c r="AC83" i="5"/>
  <c r="AD83" i="5"/>
  <c r="AC84" i="5"/>
  <c r="AD84" i="5"/>
  <c r="AC85" i="5"/>
  <c r="AD85" i="5"/>
  <c r="AC86" i="5"/>
  <c r="AD86" i="5"/>
  <c r="AC87" i="5"/>
  <c r="AD87" i="5"/>
  <c r="AC88" i="5"/>
  <c r="AD88" i="5"/>
  <c r="AC89" i="5"/>
  <c r="AD89" i="5"/>
  <c r="AC90" i="5"/>
  <c r="AD90" i="5"/>
  <c r="AC91" i="5"/>
  <c r="AD91" i="5"/>
  <c r="AC92" i="5"/>
  <c r="AD92" i="5"/>
  <c r="AC93" i="5"/>
  <c r="AD93" i="5"/>
  <c r="AC94" i="5"/>
  <c r="AD94" i="5"/>
  <c r="AC95" i="5"/>
  <c r="AD95" i="5"/>
  <c r="AC96" i="5"/>
  <c r="AD96" i="5"/>
  <c r="AC97" i="5"/>
  <c r="AD97" i="5"/>
  <c r="AC98" i="5"/>
  <c r="AD98" i="5"/>
  <c r="AC99" i="5"/>
  <c r="AD99" i="5"/>
  <c r="AC100" i="5"/>
  <c r="AD100" i="5"/>
  <c r="AC101" i="5"/>
  <c r="AD101" i="5"/>
  <c r="AC102" i="5"/>
  <c r="AD102" i="5"/>
  <c r="AC103" i="5"/>
  <c r="AD103" i="5"/>
  <c r="AC104" i="5"/>
  <c r="AD104" i="5"/>
  <c r="AC105" i="5"/>
  <c r="AD105" i="5"/>
  <c r="AC106" i="5"/>
  <c r="AD106" i="5"/>
  <c r="AC107" i="5"/>
  <c r="AD107" i="5"/>
  <c r="AC108" i="5"/>
  <c r="AD108" i="5"/>
  <c r="AC109" i="5"/>
  <c r="AD109" i="5"/>
  <c r="AC110" i="5"/>
  <c r="AD110" i="5"/>
  <c r="AC111" i="5"/>
  <c r="AD111" i="5"/>
  <c r="AC112" i="5"/>
  <c r="AD112" i="5"/>
  <c r="AC113" i="5"/>
  <c r="AD113" i="5"/>
  <c r="AC114" i="5"/>
  <c r="AD114" i="5"/>
  <c r="AC115" i="5"/>
  <c r="AD115" i="5"/>
  <c r="AC116" i="5"/>
  <c r="AD116" i="5"/>
  <c r="AC117" i="5"/>
  <c r="AD117" i="5"/>
  <c r="AC118" i="5"/>
  <c r="AD118" i="5"/>
  <c r="AC119" i="5"/>
  <c r="AD119" i="5"/>
  <c r="AC120" i="5"/>
  <c r="AD120" i="5"/>
  <c r="AC121" i="5"/>
  <c r="AD121" i="5"/>
  <c r="AC122" i="5"/>
  <c r="AD122" i="5"/>
  <c r="AC123" i="5"/>
  <c r="AD123" i="5"/>
  <c r="AC124" i="5"/>
  <c r="AD124" i="5"/>
  <c r="AC125" i="5"/>
  <c r="AD125" i="5"/>
  <c r="AC126" i="5"/>
  <c r="AD126" i="5"/>
  <c r="AC127" i="5"/>
  <c r="AD127" i="5"/>
  <c r="AC128" i="5"/>
  <c r="AD128" i="5"/>
  <c r="AC129" i="5"/>
  <c r="AD129" i="5"/>
  <c r="AC130" i="5"/>
  <c r="AD130" i="5"/>
  <c r="AC131" i="5"/>
  <c r="AD131" i="5"/>
  <c r="AC132" i="5"/>
  <c r="AD132" i="5"/>
  <c r="AC133" i="5"/>
  <c r="AD133" i="5"/>
  <c r="AC134" i="5"/>
  <c r="AD134" i="5"/>
  <c r="AC135" i="5"/>
  <c r="AD135" i="5"/>
  <c r="AC136" i="5"/>
  <c r="AD136" i="5"/>
  <c r="AC137" i="5"/>
  <c r="AD137" i="5"/>
  <c r="AC138" i="5"/>
  <c r="AD138" i="5"/>
  <c r="AC139" i="5"/>
  <c r="AD139" i="5"/>
  <c r="AC140" i="5"/>
  <c r="AD140" i="5"/>
  <c r="AC141" i="5"/>
  <c r="AD141" i="5"/>
  <c r="AC142" i="5"/>
  <c r="AD142" i="5"/>
  <c r="AC143" i="5"/>
  <c r="AD143" i="5"/>
  <c r="AC144" i="5"/>
  <c r="AD144" i="5"/>
  <c r="AC145" i="5"/>
  <c r="AD145" i="5"/>
  <c r="AC146" i="5"/>
  <c r="AD146" i="5"/>
  <c r="AC147" i="5"/>
  <c r="AD147" i="5"/>
  <c r="AC148" i="5"/>
  <c r="AD148" i="5"/>
  <c r="AC149" i="5"/>
  <c r="AD149" i="5"/>
  <c r="AC150" i="5"/>
  <c r="AD150" i="5"/>
  <c r="AC151" i="5"/>
  <c r="AD151" i="5"/>
  <c r="AC152" i="5"/>
  <c r="AD152" i="5"/>
  <c r="AC153" i="5"/>
  <c r="AD153" i="5"/>
  <c r="AC154" i="5"/>
  <c r="AD154" i="5"/>
  <c r="AC155" i="5"/>
  <c r="AD155" i="5"/>
  <c r="AC156" i="5"/>
  <c r="AD156" i="5"/>
  <c r="AC157" i="5"/>
  <c r="AD157" i="5"/>
  <c r="AC158" i="5"/>
  <c r="AD158" i="5"/>
  <c r="AC159" i="5"/>
  <c r="AD159" i="5"/>
  <c r="AC160" i="5"/>
  <c r="AD160" i="5"/>
  <c r="AC161" i="5"/>
  <c r="AD161" i="5"/>
  <c r="AC162" i="5"/>
  <c r="AD162" i="5"/>
  <c r="AC163" i="5"/>
  <c r="AD163" i="5"/>
  <c r="AC164" i="5"/>
  <c r="AD164" i="5"/>
  <c r="AC165" i="5"/>
  <c r="AD165" i="5"/>
  <c r="AC166" i="5"/>
  <c r="AD166" i="5"/>
  <c r="AC167" i="5"/>
  <c r="AD167" i="5"/>
  <c r="AC168" i="5"/>
  <c r="AD168" i="5"/>
  <c r="AC169" i="5"/>
  <c r="AD169" i="5"/>
  <c r="AC170" i="5"/>
  <c r="AD170" i="5"/>
  <c r="AC46" i="5"/>
  <c r="AD38" i="5"/>
  <c r="AC38" i="5"/>
  <c r="AD37" i="5"/>
  <c r="AC37" i="5"/>
  <c r="AD36" i="5"/>
  <c r="AC36" i="5"/>
  <c r="AD35" i="5"/>
  <c r="AC35" i="5"/>
  <c r="AD34" i="5"/>
  <c r="AC34" i="5"/>
  <c r="AD33" i="5"/>
  <c r="AC33" i="5"/>
  <c r="AD32" i="5"/>
  <c r="AC32" i="5"/>
  <c r="AD31" i="5"/>
  <c r="AC31" i="5"/>
  <c r="U32" i="5" l="1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U179" i="5"/>
  <c r="T179" i="5"/>
  <c r="Q180" i="5"/>
  <c r="P180" i="5"/>
  <c r="G26" i="9" a="1"/>
  <c r="G26" i="9" s="1"/>
  <c r="F26" i="9"/>
  <c r="E26" i="9" a="1"/>
  <c r="E26" i="9" s="1"/>
  <c r="D26" i="9" a="1"/>
  <c r="D26" i="9" s="1"/>
  <c r="C26" i="9" a="1"/>
  <c r="C26" i="9" s="1"/>
  <c r="H19" i="7"/>
  <c r="F19" i="7"/>
  <c r="D19" i="7"/>
  <c r="H18" i="7"/>
  <c r="G18" i="7"/>
  <c r="F18" i="7"/>
  <c r="E18" i="7"/>
  <c r="D18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H10" i="7"/>
  <c r="G10" i="7"/>
  <c r="G19" i="7" s="1"/>
  <c r="F10" i="7"/>
  <c r="E10" i="7"/>
  <c r="E19" i="7" s="1"/>
  <c r="D10" i="7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J42" i="5"/>
  <c r="E42" i="5"/>
  <c r="L41" i="5"/>
  <c r="G41" i="5"/>
  <c r="L40" i="5"/>
  <c r="G40" i="5"/>
  <c r="L39" i="5"/>
  <c r="G39" i="5"/>
  <c r="L38" i="5"/>
  <c r="G38" i="5"/>
  <c r="L37" i="5"/>
  <c r="G37" i="5"/>
  <c r="L36" i="5"/>
  <c r="G36" i="5"/>
  <c r="L35" i="5"/>
  <c r="G35" i="5"/>
  <c r="L34" i="5"/>
  <c r="G34" i="5"/>
  <c r="L33" i="5"/>
  <c r="G33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Q13" i="5"/>
  <c r="P27" i="5" s="1"/>
  <c r="P13" i="5"/>
  <c r="O13" i="5"/>
  <c r="N13" i="5"/>
  <c r="Q12" i="5"/>
  <c r="P26" i="5" s="1"/>
  <c r="P12" i="5"/>
  <c r="O12" i="5"/>
  <c r="N12" i="5"/>
  <c r="Q11" i="5"/>
  <c r="P25" i="5" s="1"/>
  <c r="P11" i="5"/>
  <c r="O11" i="5"/>
  <c r="N11" i="5"/>
  <c r="Q10" i="5"/>
  <c r="P24" i="5" s="1"/>
  <c r="P10" i="5"/>
  <c r="O10" i="5"/>
  <c r="N10" i="5"/>
  <c r="Q9" i="5"/>
  <c r="P23" i="5" s="1"/>
  <c r="P9" i="5"/>
  <c r="O9" i="5"/>
  <c r="N9" i="5"/>
  <c r="Q8" i="5"/>
  <c r="P22" i="5" s="1"/>
  <c r="P8" i="5"/>
  <c r="O8" i="5"/>
  <c r="N8" i="5"/>
  <c r="Q7" i="5"/>
  <c r="P21" i="5" s="1"/>
  <c r="P7" i="5"/>
  <c r="O7" i="5"/>
  <c r="N7" i="5"/>
  <c r="Q6" i="5"/>
  <c r="P20" i="5" s="1"/>
  <c r="P6" i="5"/>
  <c r="O6" i="5"/>
  <c r="N6" i="5"/>
  <c r="Q5" i="5"/>
  <c r="P19" i="5" s="1"/>
  <c r="P5" i="5"/>
  <c r="O5" i="5"/>
  <c r="N5" i="5"/>
  <c r="Q4" i="5"/>
  <c r="P18" i="5" s="1"/>
  <c r="P4" i="5"/>
  <c r="O4" i="5"/>
  <c r="N4" i="5"/>
  <c r="R51" i="4"/>
  <c r="M51" i="4"/>
  <c r="Q51" i="4" s="1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Q37" i="4"/>
  <c r="P37" i="4"/>
  <c r="Q36" i="4"/>
  <c r="P36" i="4"/>
  <c r="G52" i="4"/>
  <c r="I32" i="4"/>
  <c r="G32" i="4"/>
  <c r="J31" i="4"/>
  <c r="J30" i="4"/>
  <c r="J29" i="4"/>
  <c r="J28" i="4"/>
  <c r="U27" i="4"/>
  <c r="T27" i="4"/>
  <c r="S27" i="4"/>
  <c r="R27" i="4"/>
  <c r="Q27" i="4"/>
  <c r="P27" i="4"/>
  <c r="O27" i="4"/>
  <c r="N27" i="4"/>
  <c r="M27" i="4"/>
  <c r="J27" i="4"/>
  <c r="J26" i="4"/>
  <c r="J25" i="4"/>
  <c r="J24" i="4"/>
  <c r="J23" i="4"/>
  <c r="J22" i="4"/>
  <c r="J21" i="4"/>
  <c r="J20" i="4"/>
  <c r="J19" i="4"/>
  <c r="G153" i="3" a="1"/>
  <c r="G153" i="3" s="1"/>
  <c r="F153" i="3" a="1"/>
  <c r="F153" i="3" s="1"/>
  <c r="E153" i="3" a="1"/>
  <c r="E153" i="3" s="1"/>
  <c r="D153" i="3" a="1"/>
  <c r="D153" i="3" s="1"/>
  <c r="C153" i="3" a="1"/>
  <c r="C153" i="3" s="1"/>
  <c r="O28" i="3"/>
  <c r="O27" i="3"/>
  <c r="J27" i="3"/>
  <c r="O26" i="3"/>
  <c r="J26" i="3"/>
  <c r="O25" i="3"/>
  <c r="J25" i="3"/>
  <c r="O24" i="3"/>
  <c r="J24" i="3"/>
  <c r="O23" i="3"/>
  <c r="J23" i="3"/>
  <c r="O22" i="3"/>
  <c r="J22" i="3"/>
  <c r="O21" i="3"/>
  <c r="J21" i="3"/>
  <c r="O20" i="3"/>
  <c r="J20" i="3"/>
  <c r="O19" i="3"/>
  <c r="J19" i="3"/>
  <c r="O18" i="3"/>
  <c r="J18" i="3"/>
  <c r="O17" i="3"/>
  <c r="J17" i="3"/>
  <c r="O16" i="3"/>
  <c r="J16" i="3"/>
  <c r="J15" i="3"/>
  <c r="J14" i="3"/>
  <c r="J13" i="3"/>
  <c r="J12" i="3"/>
  <c r="O11" i="3"/>
  <c r="J11" i="3"/>
  <c r="O10" i="3"/>
  <c r="J10" i="3"/>
  <c r="O9" i="3"/>
  <c r="J9" i="3"/>
  <c r="O8" i="3"/>
  <c r="J8" i="3"/>
  <c r="O7" i="3"/>
  <c r="J7" i="3"/>
  <c r="O6" i="3"/>
  <c r="J6" i="3"/>
  <c r="O5" i="3"/>
  <c r="J5" i="3"/>
  <c r="O4" i="3"/>
  <c r="J4" i="3"/>
  <c r="I152" i="2" a="1"/>
  <c r="I152" i="2" s="1"/>
  <c r="H152" i="2" a="1"/>
  <c r="H152" i="2" s="1"/>
  <c r="G152" i="2" a="1"/>
  <c r="G152" i="2" s="1"/>
  <c r="F152" i="2" a="1"/>
  <c r="F152" i="2" s="1"/>
  <c r="E152" i="2" a="1"/>
  <c r="E152" i="2" s="1"/>
  <c r="D152" i="2" a="1"/>
  <c r="D152" i="2" s="1"/>
  <c r="C152" i="2" a="1"/>
  <c r="C152" i="2" s="1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N30" i="2"/>
  <c r="F30" i="2"/>
  <c r="F29" i="2"/>
  <c r="F28" i="2"/>
  <c r="F27" i="2"/>
  <c r="F26" i="2"/>
  <c r="Q25" i="2"/>
  <c r="F25" i="2"/>
  <c r="Q24" i="2"/>
  <c r="F24" i="2"/>
  <c r="Q23" i="2"/>
  <c r="L23" i="2"/>
  <c r="F23" i="2"/>
  <c r="Q22" i="2"/>
  <c r="L22" i="2"/>
  <c r="F22" i="2"/>
  <c r="Q21" i="2"/>
  <c r="L21" i="2"/>
  <c r="F21" i="2"/>
  <c r="Q20" i="2"/>
  <c r="L20" i="2"/>
  <c r="F20" i="2"/>
  <c r="Q19" i="2"/>
  <c r="L19" i="2"/>
  <c r="F19" i="2"/>
  <c r="Q18" i="2"/>
  <c r="L18" i="2"/>
  <c r="F18" i="2"/>
  <c r="Q17" i="2"/>
  <c r="L17" i="2"/>
  <c r="F17" i="2"/>
  <c r="Q16" i="2"/>
  <c r="L16" i="2"/>
  <c r="F16" i="2"/>
  <c r="L15" i="2"/>
  <c r="F15" i="2"/>
  <c r="L14" i="2"/>
  <c r="F14" i="2"/>
  <c r="L13" i="2"/>
  <c r="F13" i="2"/>
  <c r="L12" i="2"/>
  <c r="Q11" i="2"/>
  <c r="L11" i="2"/>
  <c r="F11" i="2"/>
  <c r="Q10" i="2"/>
  <c r="L10" i="2"/>
  <c r="F10" i="2"/>
  <c r="Q9" i="2"/>
  <c r="L9" i="2"/>
  <c r="F9" i="2"/>
  <c r="Q8" i="2"/>
  <c r="L8" i="2"/>
  <c r="F8" i="2"/>
  <c r="Q7" i="2"/>
  <c r="L7" i="2"/>
  <c r="F7" i="2"/>
  <c r="Q6" i="2"/>
  <c r="L6" i="2"/>
  <c r="F6" i="2"/>
  <c r="Q5" i="2"/>
  <c r="L5" i="2"/>
  <c r="F5" i="2"/>
  <c r="Q4" i="2"/>
  <c r="L4" i="2"/>
  <c r="F4" i="2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J32" i="4" l="1"/>
  <c r="P51" i="4"/>
  <c r="G42" i="5"/>
  <c r="U180" i="5"/>
  <c r="L42" i="5"/>
  <c r="AD45" i="5"/>
  <c r="AD43" i="5"/>
  <c r="AD41" i="5"/>
  <c r="AC44" i="5"/>
  <c r="AC42" i="5"/>
  <c r="U7" i="5" s="1"/>
  <c r="AC40" i="5"/>
  <c r="AD46" i="5"/>
  <c r="AD44" i="5"/>
  <c r="AD42" i="5"/>
  <c r="AD40" i="5"/>
  <c r="AD39" i="5"/>
  <c r="AC45" i="5"/>
  <c r="AC43" i="5"/>
  <c r="AC41" i="5"/>
  <c r="AC39" i="5"/>
  <c r="T180" i="5"/>
  <c r="R20" i="2"/>
  <c r="P20" i="3"/>
  <c r="Q12" i="2"/>
  <c r="R9" i="2" s="1"/>
  <c r="L24" i="2"/>
  <c r="M18" i="2" s="1"/>
  <c r="Q26" i="2"/>
  <c r="R16" i="2" s="1"/>
  <c r="O12" i="3"/>
  <c r="P7" i="3" s="1"/>
  <c r="J28" i="3"/>
  <c r="K5" i="3" s="1"/>
  <c r="O29" i="3"/>
  <c r="P17" i="3" s="1"/>
  <c r="V4" i="5" l="1"/>
  <c r="V7" i="5"/>
  <c r="W7" i="5" s="1"/>
  <c r="V6" i="5"/>
  <c r="U4" i="5"/>
  <c r="U6" i="5"/>
  <c r="V5" i="5"/>
  <c r="U5" i="5"/>
  <c r="P10" i="3"/>
  <c r="P26" i="3"/>
  <c r="P18" i="3"/>
  <c r="P8" i="3"/>
  <c r="K26" i="3"/>
  <c r="K18" i="3"/>
  <c r="K8" i="3"/>
  <c r="M20" i="2"/>
  <c r="M9" i="2"/>
  <c r="P23" i="3"/>
  <c r="K15" i="3"/>
  <c r="P5" i="3"/>
  <c r="R7" i="2"/>
  <c r="K21" i="3"/>
  <c r="K11" i="3"/>
  <c r="M22" i="2"/>
  <c r="R25" i="2"/>
  <c r="R19" i="2"/>
  <c r="R23" i="2"/>
  <c r="R21" i="2"/>
  <c r="R17" i="2"/>
  <c r="R26" i="2" s="1"/>
  <c r="P24" i="3"/>
  <c r="P16" i="3"/>
  <c r="P6" i="3"/>
  <c r="K24" i="3"/>
  <c r="K16" i="3"/>
  <c r="K6" i="3"/>
  <c r="M16" i="2"/>
  <c r="M5" i="2"/>
  <c r="P21" i="3"/>
  <c r="P11" i="3"/>
  <c r="R22" i="2"/>
  <c r="K27" i="3"/>
  <c r="K19" i="3"/>
  <c r="K9" i="3"/>
  <c r="R8" i="2"/>
  <c r="R10" i="2"/>
  <c r="R6" i="2"/>
  <c r="R4" i="2"/>
  <c r="R12" i="2" s="1"/>
  <c r="M17" i="2"/>
  <c r="M6" i="2"/>
  <c r="M21" i="2"/>
  <c r="M15" i="2"/>
  <c r="M10" i="2"/>
  <c r="M24" i="2"/>
  <c r="M19" i="2"/>
  <c r="M8" i="2"/>
  <c r="M23" i="2"/>
  <c r="M13" i="2"/>
  <c r="M4" i="2"/>
  <c r="P22" i="3"/>
  <c r="K13" i="3"/>
  <c r="P4" i="3"/>
  <c r="R5" i="2"/>
  <c r="K22" i="3"/>
  <c r="K12" i="3"/>
  <c r="K4" i="3"/>
  <c r="M14" i="2"/>
  <c r="P27" i="3"/>
  <c r="P19" i="3"/>
  <c r="P9" i="3"/>
  <c r="R18" i="2"/>
  <c r="K25" i="3"/>
  <c r="K17" i="3"/>
  <c r="K7" i="3"/>
  <c r="M11" i="2"/>
  <c r="P28" i="3"/>
  <c r="K20" i="3"/>
  <c r="K10" i="3"/>
  <c r="R24" i="2"/>
  <c r="M12" i="2"/>
  <c r="P25" i="3"/>
  <c r="R11" i="2"/>
  <c r="K23" i="3"/>
  <c r="K14" i="3"/>
  <c r="M7" i="2"/>
  <c r="W4" i="5" l="1"/>
  <c r="W6" i="5"/>
  <c r="W5" i="5"/>
  <c r="P29" i="3"/>
  <c r="K28" i="3"/>
  <c r="P12" i="3"/>
</calcChain>
</file>

<file path=xl/sharedStrings.xml><?xml version="1.0" encoding="utf-8"?>
<sst xmlns="http://schemas.openxmlformats.org/spreadsheetml/2006/main" count="2568" uniqueCount="523">
  <si>
    <t>Año</t>
  </si>
  <si>
    <t>Basicos</t>
  </si>
  <si>
    <t>% Basicos</t>
  </si>
  <si>
    <t>Intermedios</t>
  </si>
  <si>
    <t>% Intermedios</t>
  </si>
  <si>
    <t>Finales</t>
  </si>
  <si>
    <t>% Finales</t>
  </si>
  <si>
    <t>Total</t>
  </si>
  <si>
    <t>Produccion expresada en millones de toneladas</t>
  </si>
  <si>
    <t>Grafico 1</t>
  </si>
  <si>
    <t>Capacidad instalada de productos petroquimicos 2024</t>
  </si>
  <si>
    <t xml:space="preserve">Capacidad instalada por ciudad </t>
  </si>
  <si>
    <t>Capacidad instalada por provincia</t>
  </si>
  <si>
    <t>Producto Petroquimico</t>
  </si>
  <si>
    <t>Planta</t>
  </si>
  <si>
    <t>Ciudad</t>
  </si>
  <si>
    <t>Provincia</t>
  </si>
  <si>
    <t>Tipo de producto</t>
  </si>
  <si>
    <t>Valor</t>
  </si>
  <si>
    <t>Capacidad instalada activa</t>
  </si>
  <si>
    <t>Plantas inactivas/cerradas</t>
  </si>
  <si>
    <t>Capacidad instalada</t>
  </si>
  <si>
    <t>% del total</t>
  </si>
  <si>
    <t>ABS</t>
  </si>
  <si>
    <t>Bahia Blanca</t>
  </si>
  <si>
    <t>Bs As</t>
  </si>
  <si>
    <t>ACETALDEHÍDO</t>
  </si>
  <si>
    <t>ATANOR S.C.A</t>
  </si>
  <si>
    <t>Baradero</t>
  </si>
  <si>
    <t>Cerro</t>
  </si>
  <si>
    <t>Cordoba</t>
  </si>
  <si>
    <t>ACETATO DE n-BUTILO</t>
  </si>
  <si>
    <t>Berazategui</t>
  </si>
  <si>
    <t>Salta</t>
  </si>
  <si>
    <t>ACETATO DE ETILO</t>
  </si>
  <si>
    <t>Campana</t>
  </si>
  <si>
    <t>San Luis</t>
  </si>
  <si>
    <t>ACETATO DE VINILO</t>
  </si>
  <si>
    <t>Concordia</t>
  </si>
  <si>
    <t>Santa Fe</t>
  </si>
  <si>
    <t>ACETONA</t>
  </si>
  <si>
    <t>CARBOCLOR S.A.</t>
  </si>
  <si>
    <t>Inactiva</t>
  </si>
  <si>
    <t>El Galpon</t>
  </si>
  <si>
    <t>Entre Rios</t>
  </si>
  <si>
    <t>Ácido acético</t>
  </si>
  <si>
    <t>ATANOR S.C.A Rio Tercero</t>
  </si>
  <si>
    <t>Rio Tercero</t>
  </si>
  <si>
    <t>Ensenada</t>
  </si>
  <si>
    <t>Neuquen</t>
  </si>
  <si>
    <t>General Lagos</t>
  </si>
  <si>
    <t>Mendoza</t>
  </si>
  <si>
    <t>ÁCIDO ACRÍLICO Y SUS ÉSTERES</t>
  </si>
  <si>
    <t>Intermedio</t>
  </si>
  <si>
    <t>Lujan de Cuyo</t>
  </si>
  <si>
    <t>ÁCIDO ADÍPICO</t>
  </si>
  <si>
    <t>Munro</t>
  </si>
  <si>
    <t>ÁCIDO BENZOICO</t>
  </si>
  <si>
    <t>PETROQUIMICA ARGENTINA S.A.</t>
  </si>
  <si>
    <t>San Miguel del Monte</t>
  </si>
  <si>
    <t>Olmos</t>
  </si>
  <si>
    <t>Capacidad instalada Provincia de Buenos Aires</t>
  </si>
  <si>
    <t>ÁCIDO CÍTRICO</t>
  </si>
  <si>
    <t>P. Huincul</t>
  </si>
  <si>
    <t>ÁCIDO 2-ETILHEXANOICO</t>
  </si>
  <si>
    <t>Puerto Galvan</t>
  </si>
  <si>
    <t>ÁCIDO FÓRMICO</t>
  </si>
  <si>
    <t>Puerto General San Martin</t>
  </si>
  <si>
    <t>ÁCIDO FUMÁRICO</t>
  </si>
  <si>
    <t>ÁCIDO NÍTRICO</t>
  </si>
  <si>
    <t>AUSTIN POWDER ARGENTINA S.A.</t>
  </si>
  <si>
    <t>San Lorenzo</t>
  </si>
  <si>
    <t>FÁBRICA MILITAR RÍO TERCERO</t>
  </si>
  <si>
    <t>FRÍO INDUSTRIAS ARGENTINAS S.A</t>
  </si>
  <si>
    <t>Villa Mercedes</t>
  </si>
  <si>
    <t>ÁCIDO OXÁLICO</t>
  </si>
  <si>
    <t>ÁCIDO SALICÍLICO</t>
  </si>
  <si>
    <t>Zarate</t>
  </si>
  <si>
    <t>ÁCIDO TEREFTÁLICO</t>
  </si>
  <si>
    <t>ACRILONITRILO</t>
  </si>
  <si>
    <t>Alcoholes de C7 a C13</t>
  </si>
  <si>
    <t>YPF S.A. Ensenada</t>
  </si>
  <si>
    <t>ALCOHOL POLIVINÍLICO</t>
  </si>
  <si>
    <t>ALQUILBENCENO LINEAL</t>
  </si>
  <si>
    <t>Clasificacion de los productos petroquimicos</t>
  </si>
  <si>
    <t>AMONÍACO</t>
  </si>
  <si>
    <t>BUNGE ARGENTINA S.A.</t>
  </si>
  <si>
    <t>Amoníaco</t>
  </si>
  <si>
    <t>Acetaldehído</t>
  </si>
  <si>
    <t>PROFERTIL S.A.</t>
  </si>
  <si>
    <t>Benceno</t>
  </si>
  <si>
    <t>Acetato de vinilo</t>
  </si>
  <si>
    <t>Acetato de n-butilo</t>
  </si>
  <si>
    <t>ANHÍDRIDO ACÉTICO</t>
  </si>
  <si>
    <t>Butadieno</t>
  </si>
  <si>
    <t>Acetona</t>
  </si>
  <si>
    <t>Acetato de etilo</t>
  </si>
  <si>
    <t>Anhídrico ftalico</t>
  </si>
  <si>
    <t>VARTECO QUÍMICA PUNTANA S.A.</t>
  </si>
  <si>
    <t>Buteno-1</t>
  </si>
  <si>
    <t>Caucho acrilonitrilo-butadieno</t>
  </si>
  <si>
    <t>Anhídrico maleico</t>
  </si>
  <si>
    <t>Butileno</t>
  </si>
  <si>
    <t>Ácido adípico</t>
  </si>
  <si>
    <t>Caucho butilo</t>
  </si>
  <si>
    <t>BENCENO</t>
  </si>
  <si>
    <t>PAMPA ENERGÍA S.A General San Martin</t>
  </si>
  <si>
    <t>Etileno</t>
  </si>
  <si>
    <t>Ácido benzoico</t>
  </si>
  <si>
    <t>Caucho estireno-butadieno</t>
  </si>
  <si>
    <t>Metanol</t>
  </si>
  <si>
    <t>Ácido fórmico</t>
  </si>
  <si>
    <t>Caucho etileno-propileno</t>
  </si>
  <si>
    <t>BISFENOL A</t>
  </si>
  <si>
    <t>Propileno</t>
  </si>
  <si>
    <t>Ácido fumárico</t>
  </si>
  <si>
    <t>Caucho polibutadieno</t>
  </si>
  <si>
    <t>BUTADIENO</t>
  </si>
  <si>
    <t>Sulfuro de carbono</t>
  </si>
  <si>
    <t>Ácido nítrico</t>
  </si>
  <si>
    <t>Caucho policloropreno</t>
  </si>
  <si>
    <t>i-BUTANOL</t>
  </si>
  <si>
    <t>Tolueno</t>
  </si>
  <si>
    <t>Ácido salicílico</t>
  </si>
  <si>
    <t>Caucho poliisopreno</t>
  </si>
  <si>
    <t>n-BUTANOL</t>
  </si>
  <si>
    <t>o-Xileno</t>
  </si>
  <si>
    <t>Ácido tereftálico</t>
  </si>
  <si>
    <t>Cloruro de amonio</t>
  </si>
  <si>
    <t>BUTANOL SECUNDARIO</t>
  </si>
  <si>
    <t>Xilenos mezcla</t>
  </si>
  <si>
    <t>Acrilonitrilo</t>
  </si>
  <si>
    <t>Cloruro de metileno</t>
  </si>
  <si>
    <t>BUTENO-1</t>
  </si>
  <si>
    <t>Concentrado urea-formol</t>
  </si>
  <si>
    <t>BUTIL HIDROXI TOLUENO - BHT</t>
  </si>
  <si>
    <t>Alquilbenceno lineal</t>
  </si>
  <si>
    <t>Copolímero EVA</t>
  </si>
  <si>
    <t>CAPROLACTAMA</t>
  </si>
  <si>
    <t>Dietilenglicol</t>
  </si>
  <si>
    <t>Di-isocianato de difenilmetano (MDI)</t>
  </si>
  <si>
    <t>CAUCHO BUTILO</t>
  </si>
  <si>
    <t>Bisfenol A</t>
  </si>
  <si>
    <t>Di-isocianato de tolueno (TDI)</t>
  </si>
  <si>
    <t>i-Butanol</t>
  </si>
  <si>
    <t>Éteres glicólicos</t>
  </si>
  <si>
    <t>CAUCHO ETILENO-PROPILENO</t>
  </si>
  <si>
    <t>n-Butanol</t>
  </si>
  <si>
    <t>Fosfato diamónico</t>
  </si>
  <si>
    <t>CAUCHO POLIBUTADIENO</t>
  </si>
  <si>
    <t>Butanol secundario</t>
  </si>
  <si>
    <t>Hexametilentetramina</t>
  </si>
  <si>
    <t>CAUCHO POLICLOROPRENO</t>
  </si>
  <si>
    <t>Butil hidroxi tolueno - BHT</t>
  </si>
  <si>
    <t>Metacrilato de metilo</t>
  </si>
  <si>
    <t>CAUCHO POLIISOPRENO</t>
  </si>
  <si>
    <t>Caprolactama</t>
  </si>
  <si>
    <t>Metil etil cetona</t>
  </si>
  <si>
    <t>CIANURO DE SODIO</t>
  </si>
  <si>
    <t>Ciclohexano</t>
  </si>
  <si>
    <t>Metil isobutil cetona</t>
  </si>
  <si>
    <t>CICLOHEXANO</t>
  </si>
  <si>
    <t>Cloroformo</t>
  </si>
  <si>
    <t>Negro de humo</t>
  </si>
  <si>
    <t>Cloruro de vinilo</t>
  </si>
  <si>
    <t>Nitrato de amonio</t>
  </si>
  <si>
    <t>CLOROFORMO</t>
  </si>
  <si>
    <t>Dicloroetileno</t>
  </si>
  <si>
    <t>Nylon 6</t>
  </si>
  <si>
    <t>CLORURO DE AMONIO</t>
  </si>
  <si>
    <t>Epiclorhidrina</t>
  </si>
  <si>
    <t>Nylon 66</t>
  </si>
  <si>
    <t>CLORURO DE METILENO</t>
  </si>
  <si>
    <t>Estireno</t>
  </si>
  <si>
    <t>Policloruro de vinilo (PVC) y copolímeros</t>
  </si>
  <si>
    <t>CLORURO DE VINILO</t>
  </si>
  <si>
    <t>UNIPAR INDUPA S.A.I.C.</t>
  </si>
  <si>
    <t>Etanolaminas (mono, di, tri)</t>
  </si>
  <si>
    <t>Poliestireno convencional y alto impacto</t>
  </si>
  <si>
    <t>CONCENTRADO UREA-FORMOL</t>
  </si>
  <si>
    <t>Etilbenceno</t>
  </si>
  <si>
    <t>Poliestireno expandible</t>
  </si>
  <si>
    <t>RESINAS CONCORDIA S.R.L.</t>
  </si>
  <si>
    <t>Etilenglicol</t>
  </si>
  <si>
    <t>Polietilenglicoles y propilenglicoles sólidos</t>
  </si>
  <si>
    <t>ARAUCO ARGENTINA S.A. - División Química</t>
  </si>
  <si>
    <t>Fenol</t>
  </si>
  <si>
    <t>Polietileno de alta densidad</t>
  </si>
  <si>
    <t>Formaldehído 37 %</t>
  </si>
  <si>
    <t>Polietileno de baja densidad convencional</t>
  </si>
  <si>
    <t>COPOLÍMERO EVA</t>
  </si>
  <si>
    <t>Hexametilendiamina</t>
  </si>
  <si>
    <t>Polietileno de baja densidad lineal</t>
  </si>
  <si>
    <t>DICLOROETILENO</t>
  </si>
  <si>
    <t>Isopropanol</t>
  </si>
  <si>
    <t>Poliisobuteno</t>
  </si>
  <si>
    <t>DIETILENGLICOL</t>
  </si>
  <si>
    <t>Melamina</t>
  </si>
  <si>
    <t>Polioxi propilenglicoles</t>
  </si>
  <si>
    <t>DI-ISOCIANATO DE DIFENILMETANO (MDI)</t>
  </si>
  <si>
    <t>Nonilfenol</t>
  </si>
  <si>
    <t>Polipropileno</t>
  </si>
  <si>
    <t>DI-ISOCIANATO DE TOLUENO (TDI)</t>
  </si>
  <si>
    <t>Óxido de etileno</t>
  </si>
  <si>
    <t>Politereftalato de etileno - Envase</t>
  </si>
  <si>
    <t>N, N - DIMETILFORMAMIDA</t>
  </si>
  <si>
    <t>Óxido de propileno</t>
  </si>
  <si>
    <t>Politereftalato de etileno - Textil</t>
  </si>
  <si>
    <t>EPICLORHIDRINA</t>
  </si>
  <si>
    <t>Paraformaldehído (92 %)</t>
  </si>
  <si>
    <t>SAN</t>
  </si>
  <si>
    <t>ESTIRENO</t>
  </si>
  <si>
    <t>Pentaeritritol</t>
  </si>
  <si>
    <t>Sulfato de amonio</t>
  </si>
  <si>
    <t>ETANOLAMINAS (Mono, Di, Tri)</t>
  </si>
  <si>
    <t>Propilenglicol</t>
  </si>
  <si>
    <t>Tetracloroetileno</t>
  </si>
  <si>
    <t>ÉTERES GLICÓLICOS</t>
  </si>
  <si>
    <t>PBBPolisur S.R.L.</t>
  </si>
  <si>
    <t>Tricloroetileno</t>
  </si>
  <si>
    <t>ETILBENCENO</t>
  </si>
  <si>
    <t>Urea</t>
  </si>
  <si>
    <t>ETILENGLICOL</t>
  </si>
  <si>
    <t>ETILENO</t>
  </si>
  <si>
    <t>FENOL</t>
  </si>
  <si>
    <t>FOSFATO DIAMÓNICO</t>
  </si>
  <si>
    <t>FOSFATO MONOAMÓNICO</t>
  </si>
  <si>
    <t>GLUTAMATO MONOSÓDICO</t>
  </si>
  <si>
    <t>HEXAMETILENDIAMINA</t>
  </si>
  <si>
    <t>HEXAMETILENTETRAMINA</t>
  </si>
  <si>
    <t>HEXENO</t>
  </si>
  <si>
    <t>HEXILENGLICOL</t>
  </si>
  <si>
    <t>ISOPROPANOL</t>
  </si>
  <si>
    <t>MELAMINA</t>
  </si>
  <si>
    <t>METACRILATO DE METILO</t>
  </si>
  <si>
    <t>METANOL</t>
  </si>
  <si>
    <t>YPF S.A. Huincul</t>
  </si>
  <si>
    <t>METILATO DE SODIO</t>
  </si>
  <si>
    <t>EVONIK METILATOS S.A.</t>
  </si>
  <si>
    <t>METIL ETIL CETONA</t>
  </si>
  <si>
    <t>METIL ISOBUTIL CARBINOL</t>
  </si>
  <si>
    <t>METIL ISOBUTIL CETONA</t>
  </si>
  <si>
    <t>METIONINA</t>
  </si>
  <si>
    <t>MONOISOPROPILAMINA</t>
  </si>
  <si>
    <t>MTBE</t>
  </si>
  <si>
    <t>YPF S.A. Cuyo</t>
  </si>
  <si>
    <t>NAFTALENO</t>
  </si>
  <si>
    <t>NEGRO DE HUMO</t>
  </si>
  <si>
    <t>CABOT ARGENTINA S.A.I.C.</t>
  </si>
  <si>
    <t>NITRATO DE AMONIO</t>
  </si>
  <si>
    <t>NONILFENOL</t>
  </si>
  <si>
    <t>NYLON 6</t>
  </si>
  <si>
    <t>NYLON 66</t>
  </si>
  <si>
    <t>INVISTA ARGENTINA S.R.L.</t>
  </si>
  <si>
    <t>OCTENO</t>
  </si>
  <si>
    <t>ÓXIDO DE ETILENO</t>
  </si>
  <si>
    <t>ÓXIDO DE PROPILENO</t>
  </si>
  <si>
    <t>PARAFORMALDEHÍDO (92 %)</t>
  </si>
  <si>
    <t>PENTAERITRITOL</t>
  </si>
  <si>
    <t>POLICLORURO DE VINILO (PVC) Y COPOLÍMEROS</t>
  </si>
  <si>
    <t>UniPAR INDUPA S.A.I.C.</t>
  </si>
  <si>
    <t>PAMPA ENERGÍA S.A Zarate</t>
  </si>
  <si>
    <t>POLIESTIRENO EXPANDIBLE</t>
  </si>
  <si>
    <t>STYROPEK S.A</t>
  </si>
  <si>
    <t>RESIGUM SAN LUIS S.A.</t>
  </si>
  <si>
    <t>POLIETILENO DE ALTA DENSIDAD</t>
  </si>
  <si>
    <t>POLIETILENO DE BAJA DENSIDAD CONVENCIONAL</t>
  </si>
  <si>
    <t>POLIETILENO DE BAJA DENSIDAD LINEAL</t>
  </si>
  <si>
    <t>POLIISOBUTENO</t>
  </si>
  <si>
    <t>POLIOXI PROPILENGLICOLES</t>
  </si>
  <si>
    <t>POLIPROPILENO</t>
  </si>
  <si>
    <t>PETROCUYO S.A.I.C.</t>
  </si>
  <si>
    <t>ALPEK POLYESTER ARGENTINA S.A.</t>
  </si>
  <si>
    <t>MAFISSA S.A.</t>
  </si>
  <si>
    <t>PROPILENGLICOL</t>
  </si>
  <si>
    <t>RESINAS ACETAL</t>
  </si>
  <si>
    <t>RESINAS POLICARBONATO</t>
  </si>
  <si>
    <t>RESORCINA</t>
  </si>
  <si>
    <t>SOLVENTE AROMÁTICO PESADO (HIGH FLASH)</t>
  </si>
  <si>
    <t>SULFATO DE AMONIO</t>
  </si>
  <si>
    <t>SULFURO DE CARBONO</t>
  </si>
  <si>
    <t>NOURYON CHEMICALS ARGENTINA S.A.U.</t>
  </si>
  <si>
    <t>TETRACLOROETILENO</t>
  </si>
  <si>
    <t>TIOSULFATO DE AMONIO</t>
  </si>
  <si>
    <t>TOLUENO</t>
  </si>
  <si>
    <t>TRICLOROETILENO</t>
  </si>
  <si>
    <t>UAN (En solución acuosa)</t>
  </si>
  <si>
    <t>UREA</t>
  </si>
  <si>
    <t>o-XILENO</t>
  </si>
  <si>
    <t>XILENOS MEZCLA</t>
  </si>
  <si>
    <t>Capacidad instalada de productos petroquimicos 2021</t>
  </si>
  <si>
    <t>ATANOR S.C.A.</t>
  </si>
  <si>
    <t xml:space="preserve">Baradero </t>
  </si>
  <si>
    <t>Burzaco</t>
  </si>
  <si>
    <t>ÁCIDO ACÉTICO</t>
  </si>
  <si>
    <t>Junin</t>
  </si>
  <si>
    <t>San Nicolas</t>
  </si>
  <si>
    <t>FRÍO INDUSTRIAS ARGENTINAS S.A.</t>
  </si>
  <si>
    <t>ALCOHOLES C7 a C13</t>
  </si>
  <si>
    <t>YPF S.A.</t>
  </si>
  <si>
    <t>ANHÍDRIDO FTÁLICO</t>
  </si>
  <si>
    <t>ANHÍDRIDO MALEICO</t>
  </si>
  <si>
    <t>PAMPA ENERGÍA S.A.</t>
  </si>
  <si>
    <t>CAUCHO ACRILONITRILO-BUTADIENO (NBR)</t>
  </si>
  <si>
    <t>CAUCHO ESTIRENO-BUTADIENO (SBR)</t>
  </si>
  <si>
    <t>CICLOHEXANONA</t>
  </si>
  <si>
    <t>UNIPAR INDUPA SAIC</t>
  </si>
  <si>
    <t>PETROQUIMICA RIO TERCERO SA</t>
  </si>
  <si>
    <t>PBBPolisur S.A.</t>
  </si>
  <si>
    <t>FORMALDEHÍDO 37 %(1)</t>
  </si>
  <si>
    <t>Evonik Metilatos S.A.</t>
  </si>
  <si>
    <t>N. N - DIMETILFORMAMIDA</t>
  </si>
  <si>
    <t>CARBOQUIMICA DEL PARANA S.A.</t>
  </si>
  <si>
    <t>CABOT ARGENTINA SAIC</t>
  </si>
  <si>
    <t>INVISTA ARGENTINA S.R.L. (1)</t>
  </si>
  <si>
    <t>OXIDO DE ETILENO</t>
  </si>
  <si>
    <t>OXIDO DE PROPILENO</t>
  </si>
  <si>
    <t>POLIESTIRENO (CONVENCIONAL Y ALTO IMPACTO)</t>
  </si>
  <si>
    <t>STYROPEK S.A.</t>
  </si>
  <si>
    <t>INDUSPOL AISLACIONES S.R.L.</t>
  </si>
  <si>
    <t>POLIETILENGLICOLES Y POLIPROPILENGLICOLES SÓLIDOS</t>
  </si>
  <si>
    <t>PBBPolisur SA</t>
  </si>
  <si>
    <t>BASF POLIURETANOS SA</t>
  </si>
  <si>
    <t>PETROCUYO SAIC</t>
  </si>
  <si>
    <t>POLITEREFTALATO DE ETILENO (PET) - USO ENVASE</t>
  </si>
  <si>
    <t>DAK AMERICAS ARGENTINA S.A.</t>
  </si>
  <si>
    <t>POLITEREFTALATO DE ETILENO (PET) - USO TEXTIL</t>
  </si>
  <si>
    <t>MAFISSA SA</t>
  </si>
  <si>
    <t>TERNIUM ARGENTINA S.A.</t>
  </si>
  <si>
    <t>TRIETILÉNGLICOL</t>
  </si>
  <si>
    <t>Grafico 2</t>
  </si>
  <si>
    <t>Produccion nacional 2015 - 2024</t>
  </si>
  <si>
    <t>Produccion nacional vs local 2015 2024</t>
  </si>
  <si>
    <t>T basicos</t>
  </si>
  <si>
    <t>T inter</t>
  </si>
  <si>
    <t>T finales</t>
  </si>
  <si>
    <t>Produccion local</t>
  </si>
  <si>
    <t>Produccion nacional</t>
  </si>
  <si>
    <t>Produccion Bahia Blanca 2024</t>
  </si>
  <si>
    <t>Producto</t>
  </si>
  <si>
    <t>U$S/t</t>
  </si>
  <si>
    <t>Valoracion de la produccion</t>
  </si>
  <si>
    <t>Consumo aparente local</t>
  </si>
  <si>
    <t>CLORO</t>
  </si>
  <si>
    <t>HIDRÓXIDO DE SODIO 100 % (Soda Cáustica)</t>
  </si>
  <si>
    <t>CIF</t>
  </si>
  <si>
    <t>FOB</t>
  </si>
  <si>
    <t>VALOR CIF</t>
  </si>
  <si>
    <t>VALOR FOB</t>
  </si>
  <si>
    <t>Valuacion</t>
  </si>
  <si>
    <t>Importaciones</t>
  </si>
  <si>
    <t>Saldo comercial</t>
  </si>
  <si>
    <t>Exportaciones</t>
  </si>
  <si>
    <t>Saldos expresados en millones de toneladas</t>
  </si>
  <si>
    <t>Grafico 3</t>
  </si>
  <si>
    <t>Grafico 6</t>
  </si>
  <si>
    <t>Exportaciones a nivel local</t>
  </si>
  <si>
    <t>Importaciones a nivel local</t>
  </si>
  <si>
    <t>Volumen exportado en t</t>
  </si>
  <si>
    <t>Consumo aparente expresada en millones de dolares</t>
  </si>
  <si>
    <t>Grafico 5</t>
  </si>
  <si>
    <t>Materias primas petroquimicas</t>
  </si>
  <si>
    <t xml:space="preserve">Materias primas </t>
  </si>
  <si>
    <t>2020</t>
  </si>
  <si>
    <t>2021</t>
  </si>
  <si>
    <t>2022</t>
  </si>
  <si>
    <t>2023</t>
  </si>
  <si>
    <t>2024</t>
  </si>
  <si>
    <t>Etano</t>
  </si>
  <si>
    <t>Propano</t>
  </si>
  <si>
    <t>Grafico 4</t>
  </si>
  <si>
    <t>Butano</t>
  </si>
  <si>
    <t>Nafta</t>
  </si>
  <si>
    <t>Materias primas petroquimicas en millones de t</t>
  </si>
  <si>
    <t>Capacidad instalada de productos quimicos 2024</t>
  </si>
  <si>
    <t>ÁCIDO SULFÚRICO 98%</t>
  </si>
  <si>
    <t>MERANOL S.A.</t>
  </si>
  <si>
    <t>Dock Sud</t>
  </si>
  <si>
    <t>Buenos Aires</t>
  </si>
  <si>
    <t>AR ZINC S.A.</t>
  </si>
  <si>
    <t>Fray Luis Beltran</t>
  </si>
  <si>
    <t>MINERA SANTA RITA S.R.L.</t>
  </si>
  <si>
    <t>Campo Quijano</t>
  </si>
  <si>
    <t>AGUA OXIGENADA 100 %</t>
  </si>
  <si>
    <t>CARBONATO DE SODIO (Soda Solvay)</t>
  </si>
  <si>
    <t>ALCALIS DE LA PATAGONIA S.A.I.C.</t>
  </si>
  <si>
    <t>San Antonio Oeste</t>
  </si>
  <si>
    <t>Rio Negro</t>
  </si>
  <si>
    <t>CAUCHO NATURAL</t>
  </si>
  <si>
    <t>TRANSCLOR S.A.</t>
  </si>
  <si>
    <t>Pilar</t>
  </si>
  <si>
    <t>Otros</t>
  </si>
  <si>
    <t>DIÓXIDO DE TITANIO</t>
  </si>
  <si>
    <t>FURFURAL</t>
  </si>
  <si>
    <t>INDUNOR S.A.</t>
  </si>
  <si>
    <t>La Escondida</t>
  </si>
  <si>
    <t>Chaco</t>
  </si>
  <si>
    <t>PARAFINA</t>
  </si>
  <si>
    <t>SUPERFOSFATO SIMPLE DE CALCIO</t>
  </si>
  <si>
    <t>Ramallo</t>
  </si>
  <si>
    <t>ERMINAL DE FERTILIZANTES ARG. S.A.</t>
  </si>
  <si>
    <t>TIOSULFATO DE POTASIO</t>
  </si>
  <si>
    <t>Final</t>
  </si>
  <si>
    <t>No encontrado</t>
  </si>
  <si>
    <t>Básico</t>
  </si>
  <si>
    <t>Valor FOB</t>
  </si>
  <si>
    <t>Valor CIF</t>
  </si>
  <si>
    <t>Impo y expo valuacion 2024</t>
  </si>
  <si>
    <t>AÑO</t>
  </si>
  <si>
    <t>IMPO. (t)</t>
  </si>
  <si>
    <t>EXPO. (t)</t>
  </si>
  <si>
    <t>IMPO. (US$/t)</t>
  </si>
  <si>
    <t>EXPO. (US$/t)</t>
  </si>
  <si>
    <t>Valuacion Impo</t>
  </si>
  <si>
    <t>Valuacion Expo</t>
  </si>
  <si>
    <t>Acetato de n-Butilo</t>
  </si>
  <si>
    <t>Acetato de Vinilo</t>
  </si>
  <si>
    <t>Acetato de Etilo</t>
  </si>
  <si>
    <t>Acido Acético</t>
  </si>
  <si>
    <t>Acido Acrílico y sus ésteres</t>
  </si>
  <si>
    <t>Acido Adípico</t>
  </si>
  <si>
    <t>Acido Benzoico</t>
  </si>
  <si>
    <t>Acido Cítrico</t>
  </si>
  <si>
    <t>Acido 2-etilhexanoico</t>
  </si>
  <si>
    <t>Acido Fórmico</t>
  </si>
  <si>
    <t>Acido Fumárico</t>
  </si>
  <si>
    <t>Acido Nítrico</t>
  </si>
  <si>
    <t>Acido Oxálico</t>
  </si>
  <si>
    <t>Acido Salicílico</t>
  </si>
  <si>
    <t>Acido Tereftálico</t>
  </si>
  <si>
    <t>Alcoholes C7 a C13</t>
  </si>
  <si>
    <t>Alcohol Polivinílico</t>
  </si>
  <si>
    <t>Alquilbenceno Lineal</t>
  </si>
  <si>
    <t>Anhídrido Acético</t>
  </si>
  <si>
    <t>Anhídrido Ftálico</t>
  </si>
  <si>
    <t>Anhídrido Maleico</t>
  </si>
  <si>
    <t>Butanol Secundario</t>
  </si>
  <si>
    <t>Butil Hidroxi Tolueno</t>
  </si>
  <si>
    <t>Caucho Acrilonitrilo-Butadieno</t>
  </si>
  <si>
    <t>Caucho Butilo</t>
  </si>
  <si>
    <t>Caucho Estireno-Butadieno</t>
  </si>
  <si>
    <t>Caucho Etileno-Propileno</t>
  </si>
  <si>
    <t>Caucho Polibutadieno</t>
  </si>
  <si>
    <t>Caucho Policloropreno</t>
  </si>
  <si>
    <t>Caucho Poliisopreno</t>
  </si>
  <si>
    <t>Cianuro de Sodio</t>
  </si>
  <si>
    <t>Ciclohexanona</t>
  </si>
  <si>
    <t>Cloruro de Amonio</t>
  </si>
  <si>
    <t>Cloruro de Metileno</t>
  </si>
  <si>
    <t>Cloruro de Vinilo</t>
  </si>
  <si>
    <t>Concentrado Urea-Formol</t>
  </si>
  <si>
    <t>S/D</t>
  </si>
  <si>
    <t>Di-Isocianato de Difenilmetano</t>
  </si>
  <si>
    <t>Di-Isocianato de Tolueno</t>
  </si>
  <si>
    <t>N, N-Dimetilformamida</t>
  </si>
  <si>
    <t>Etanolaminas</t>
  </si>
  <si>
    <t>Eteres Glicólicos</t>
  </si>
  <si>
    <t>Etilénglicol</t>
  </si>
  <si>
    <t>Formaldehído 37%</t>
  </si>
  <si>
    <t>Fosfato Diamónico</t>
  </si>
  <si>
    <t>Fosfato Monoamónico</t>
  </si>
  <si>
    <t>Glutamato Monosódico</t>
  </si>
  <si>
    <t>Hexeno</t>
  </si>
  <si>
    <t>Hexilenglicol</t>
  </si>
  <si>
    <t>Metacrilato de Metilo</t>
  </si>
  <si>
    <t>Metilato de Sodio</t>
  </si>
  <si>
    <t>Metil Etil Cetona</t>
  </si>
  <si>
    <t>Metil Isobutil Carbinol</t>
  </si>
  <si>
    <t>Metil Isobutil Cetona</t>
  </si>
  <si>
    <t>Metionina</t>
  </si>
  <si>
    <t>Monoisopropilamina</t>
  </si>
  <si>
    <t>Naftaleno</t>
  </si>
  <si>
    <t>Negro de Humo</t>
  </si>
  <si>
    <t>Nitrato de Amonio</t>
  </si>
  <si>
    <t>Octeno</t>
  </si>
  <si>
    <t>Oxido de Etileno</t>
  </si>
  <si>
    <t>Oxido de Propileno</t>
  </si>
  <si>
    <t>Paraformaldehído (92%)</t>
  </si>
  <si>
    <t xml:space="preserve">Policloruro de Vinilo </t>
  </si>
  <si>
    <t>Poliestireno C y A I</t>
  </si>
  <si>
    <t>Poliestireno Expandible</t>
  </si>
  <si>
    <t>Polietilenglicoles sólidos</t>
  </si>
  <si>
    <t>Polietileno Alta Densidad</t>
  </si>
  <si>
    <t>Polietileno B. D. Conv.</t>
  </si>
  <si>
    <t>Polietileno B. D. Lineal</t>
  </si>
  <si>
    <t>Polioxi Propilenglicoles</t>
  </si>
  <si>
    <t>PET - Uso Envase</t>
  </si>
  <si>
    <t>PET - Uso Textil</t>
  </si>
  <si>
    <t>Resinas Acetal</t>
  </si>
  <si>
    <t>Resinas Policarbonato</t>
  </si>
  <si>
    <t>Resorcina</t>
  </si>
  <si>
    <t>Solvente Aromático Pesado</t>
  </si>
  <si>
    <t>Sulfato de Amonio</t>
  </si>
  <si>
    <t>Sulfuro de Carbono</t>
  </si>
  <si>
    <t>Tiosulfato de Amonio</t>
  </si>
  <si>
    <t>Trietilenglicol</t>
  </si>
  <si>
    <t>UAN</t>
  </si>
  <si>
    <t>Xilenos Mezcla</t>
  </si>
  <si>
    <t>Saldo</t>
  </si>
  <si>
    <t>$ Importaciones</t>
  </si>
  <si>
    <t>$ Exportaciones</t>
  </si>
  <si>
    <t>Valuacion importaciones y exportaciones en USD</t>
  </si>
  <si>
    <t>Alcoholes C7 a C14</t>
  </si>
  <si>
    <t>Alcoholes C7 a C15</t>
  </si>
  <si>
    <t>Alcoholes C7 a C16</t>
  </si>
  <si>
    <t>Buteno-2</t>
  </si>
  <si>
    <t>Buteno-3</t>
  </si>
  <si>
    <t>Buteno-4</t>
  </si>
  <si>
    <t>Nylon 7</t>
  </si>
  <si>
    <t>Nylon 8</t>
  </si>
  <si>
    <t>Nylon 9</t>
  </si>
  <si>
    <t>Nylon 67</t>
  </si>
  <si>
    <t>Nylon 68</t>
  </si>
  <si>
    <t>Nylon 69</t>
  </si>
  <si>
    <t>Consumo aparente</t>
  </si>
  <si>
    <t>Valuacion consumo aparente</t>
  </si>
  <si>
    <t>Valuacion produccion</t>
  </si>
  <si>
    <t>Produccion</t>
  </si>
  <si>
    <t>Exportación</t>
  </si>
  <si>
    <t>Importación</t>
  </si>
  <si>
    <t>Producción</t>
  </si>
  <si>
    <t>Producto basico</t>
  </si>
  <si>
    <t>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</si>
</sst>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"/>
    <numFmt numFmtId="165" formatCode="0.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name val="Calibri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rgb="FFFFFFFF"/>
      <name val="Calibri"/>
    </font>
    <font>
      <sz val="11"/>
      <color theme="1"/>
      <name val="Calibri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2F5496"/>
        <bgColor rgb="FF2F5496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theme="3" tint="0.499984740745262"/>
        <bgColor theme="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6"/>
        <bgColor theme="0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4B083"/>
      </patternFill>
    </fill>
    <fill>
      <patternFill patternType="solid">
        <fgColor theme="0"/>
        <bgColor rgb="FFFFFF00"/>
      </patternFill>
    </fill>
    <fill>
      <patternFill patternType="solid">
        <fgColor rgb="FF760694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72C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760694"/>
      </left>
      <right/>
      <top style="medium">
        <color rgb="FF760694"/>
      </top>
      <bottom/>
      <diagonal/>
    </border>
    <border>
      <left/>
      <right/>
      <top style="medium">
        <color rgb="FF760694"/>
      </top>
      <bottom/>
      <diagonal/>
    </border>
    <border>
      <left/>
      <right style="medium">
        <color rgb="FF760694"/>
      </right>
      <top style="medium">
        <color rgb="FF760694"/>
      </top>
      <bottom/>
      <diagonal/>
    </border>
    <border>
      <left style="medium">
        <color rgb="FF760694"/>
      </left>
      <right/>
      <top/>
      <bottom style="medium">
        <color rgb="FF760694"/>
      </bottom>
      <diagonal/>
    </border>
    <border>
      <left/>
      <right/>
      <top/>
      <bottom style="medium">
        <color rgb="FF760694"/>
      </bottom>
      <diagonal/>
    </border>
    <border>
      <left/>
      <right style="medium">
        <color rgb="FF760694"/>
      </right>
      <top/>
      <bottom style="medium">
        <color rgb="FF760694"/>
      </bottom>
      <diagonal/>
    </border>
    <border>
      <left style="medium">
        <color rgb="FF760694"/>
      </left>
      <right style="medium">
        <color rgb="FF760694"/>
      </right>
      <top style="medium">
        <color rgb="FF76069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3" fontId="4" fillId="0" borderId="0" xfId="0" applyNumberFormat="1" applyFont="1" applyAlignment="1">
      <alignment horizontal="center"/>
    </xf>
    <xf numFmtId="164" fontId="4" fillId="0" borderId="0" xfId="0" applyNumberFormat="1" applyFont="1"/>
    <xf numFmtId="10" fontId="4" fillId="0" borderId="0" xfId="0" applyNumberFormat="1" applyFont="1" applyAlignment="1">
      <alignment horizontal="center"/>
    </xf>
    <xf numFmtId="0" fontId="2" fillId="0" borderId="7" xfId="0" applyFont="1" applyBorder="1"/>
    <xf numFmtId="164" fontId="2" fillId="0" borderId="7" xfId="0" applyNumberFormat="1" applyFont="1" applyBorder="1" applyAlignment="1">
      <alignment horizontal="left"/>
    </xf>
    <xf numFmtId="0" fontId="3" fillId="2" borderId="7" xfId="0" applyFont="1" applyFill="1" applyBorder="1"/>
    <xf numFmtId="164" fontId="3" fillId="2" borderId="7" xfId="0" applyNumberFormat="1" applyFont="1" applyFill="1" applyBorder="1" applyAlignment="1">
      <alignment horizontal="left"/>
    </xf>
    <xf numFmtId="0" fontId="4" fillId="0" borderId="7" xfId="0" applyFont="1" applyBorder="1"/>
    <xf numFmtId="3" fontId="4" fillId="0" borderId="7" xfId="0" applyNumberFormat="1" applyFont="1" applyBorder="1" applyAlignment="1">
      <alignment horizontal="left"/>
    </xf>
    <xf numFmtId="10" fontId="4" fillId="0" borderId="7" xfId="0" applyNumberFormat="1" applyFont="1" applyBorder="1" applyAlignment="1">
      <alignment horizontal="left"/>
    </xf>
    <xf numFmtId="0" fontId="4" fillId="0" borderId="7" xfId="0" applyFont="1" applyBorder="1" applyAlignment="1">
      <alignment horizontal="left"/>
    </xf>
    <xf numFmtId="3" fontId="4" fillId="0" borderId="7" xfId="0" applyNumberFormat="1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3" fontId="4" fillId="3" borderId="7" xfId="0" applyNumberFormat="1" applyFont="1" applyFill="1" applyBorder="1" applyAlignment="1">
      <alignment horizontal="center"/>
    </xf>
    <xf numFmtId="3" fontId="4" fillId="4" borderId="7" xfId="0" applyNumberFormat="1" applyFont="1" applyFill="1" applyBorder="1" applyAlignment="1">
      <alignment horizontal="center"/>
    </xf>
    <xf numFmtId="0" fontId="6" fillId="0" borderId="7" xfId="0" applyFont="1" applyBorder="1"/>
    <xf numFmtId="0" fontId="7" fillId="0" borderId="7" xfId="0" applyFont="1" applyBorder="1"/>
    <xf numFmtId="0" fontId="7" fillId="0" borderId="0" xfId="0" applyFont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3" fontId="4" fillId="0" borderId="8" xfId="0" applyNumberFormat="1" applyFont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3" fontId="4" fillId="0" borderId="7" xfId="0" applyNumberFormat="1" applyFont="1" applyBorder="1"/>
    <xf numFmtId="3" fontId="4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6" borderId="7" xfId="0" applyFont="1" applyFill="1" applyBorder="1"/>
    <xf numFmtId="3" fontId="4" fillId="7" borderId="7" xfId="0" applyNumberFormat="1" applyFont="1" applyFill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4" fillId="8" borderId="7" xfId="0" applyFont="1" applyFill="1" applyBorder="1"/>
    <xf numFmtId="0" fontId="3" fillId="2" borderId="12" xfId="0" applyFont="1" applyFill="1" applyBorder="1"/>
    <xf numFmtId="3" fontId="4" fillId="0" borderId="0" xfId="0" applyNumberFormat="1" applyFont="1"/>
    <xf numFmtId="2" fontId="4" fillId="0" borderId="7" xfId="0" applyNumberFormat="1" applyFont="1" applyBorder="1" applyAlignment="1">
      <alignment horizontal="center"/>
    </xf>
    <xf numFmtId="0" fontId="8" fillId="0" borderId="7" xfId="0" applyFont="1" applyBorder="1"/>
    <xf numFmtId="0" fontId="4" fillId="0" borderId="0" xfId="0" applyFont="1"/>
    <xf numFmtId="1" fontId="4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8" fillId="0" borderId="7" xfId="0" applyFont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165" fontId="4" fillId="0" borderId="7" xfId="0" applyNumberFormat="1" applyFont="1" applyBorder="1" applyAlignment="1">
      <alignment horizontal="center"/>
    </xf>
    <xf numFmtId="3" fontId="4" fillId="3" borderId="7" xfId="0" applyNumberFormat="1" applyFont="1" applyFill="1" applyBorder="1"/>
    <xf numFmtId="3" fontId="4" fillId="4" borderId="7" xfId="0" applyNumberFormat="1" applyFont="1" applyFill="1" applyBorder="1"/>
    <xf numFmtId="0" fontId="2" fillId="2" borderId="13" xfId="0" applyFont="1" applyFill="1" applyBorder="1"/>
    <xf numFmtId="0" fontId="4" fillId="9" borderId="13" xfId="0" applyFont="1" applyFill="1" applyBorder="1"/>
    <xf numFmtId="0" fontId="0" fillId="0" borderId="13" xfId="0" applyBorder="1"/>
    <xf numFmtId="3" fontId="0" fillId="0" borderId="13" xfId="0" applyNumberFormat="1" applyBorder="1"/>
    <xf numFmtId="0" fontId="4" fillId="10" borderId="13" xfId="0" applyFont="1" applyFill="1" applyBorder="1"/>
    <xf numFmtId="0" fontId="0" fillId="11" borderId="13" xfId="0" applyFill="1" applyBorder="1"/>
    <xf numFmtId="0" fontId="4" fillId="12" borderId="13" xfId="0" applyFont="1" applyFill="1" applyBorder="1"/>
    <xf numFmtId="0" fontId="0" fillId="13" borderId="13" xfId="0" applyFill="1" applyBorder="1"/>
    <xf numFmtId="0" fontId="4" fillId="14" borderId="13" xfId="0" applyFont="1" applyFill="1" applyBorder="1"/>
    <xf numFmtId="0" fontId="0" fillId="15" borderId="13" xfId="0" applyFill="1" applyBorder="1"/>
    <xf numFmtId="0" fontId="0" fillId="16" borderId="13" xfId="0" applyFill="1" applyBorder="1"/>
    <xf numFmtId="3" fontId="0" fillId="13" borderId="13" xfId="0" applyNumberFormat="1" applyFill="1" applyBorder="1"/>
    <xf numFmtId="0" fontId="4" fillId="0" borderId="13" xfId="0" applyFont="1" applyBorder="1" applyAlignment="1">
      <alignment horizontal="center"/>
    </xf>
    <xf numFmtId="0" fontId="2" fillId="2" borderId="14" xfId="0" applyFont="1" applyFill="1" applyBorder="1"/>
    <xf numFmtId="3" fontId="4" fillId="9" borderId="7" xfId="0" applyNumberFormat="1" applyFont="1" applyFill="1" applyBorder="1"/>
    <xf numFmtId="3" fontId="0" fillId="0" borderId="0" xfId="0" applyNumberFormat="1"/>
    <xf numFmtId="3" fontId="0" fillId="18" borderId="13" xfId="0" applyNumberFormat="1" applyFill="1" applyBorder="1"/>
    <xf numFmtId="0" fontId="0" fillId="18" borderId="13" xfId="0" applyFill="1" applyBorder="1"/>
    <xf numFmtId="3" fontId="0" fillId="18" borderId="13" xfId="0" applyNumberFormat="1" applyFill="1" applyBorder="1" applyAlignment="1">
      <alignment horizontal="right"/>
    </xf>
    <xf numFmtId="3" fontId="11" fillId="18" borderId="13" xfId="0" applyNumberFormat="1" applyFont="1" applyFill="1" applyBorder="1" applyAlignment="1">
      <alignment horizontal="right"/>
    </xf>
    <xf numFmtId="0" fontId="0" fillId="0" borderId="17" xfId="0" applyBorder="1"/>
    <xf numFmtId="3" fontId="0" fillId="18" borderId="15" xfId="0" applyNumberFormat="1" applyFill="1" applyBorder="1"/>
    <xf numFmtId="0" fontId="0" fillId="0" borderId="19" xfId="0" applyBorder="1"/>
    <xf numFmtId="0" fontId="10" fillId="17" borderId="20" xfId="0" applyFont="1" applyFill="1" applyBorder="1" applyAlignment="1">
      <alignment horizontal="center"/>
    </xf>
    <xf numFmtId="0" fontId="10" fillId="17" borderId="21" xfId="0" applyFont="1" applyFill="1" applyBorder="1" applyAlignment="1">
      <alignment horizontal="center"/>
    </xf>
    <xf numFmtId="3" fontId="0" fillId="18" borderId="18" xfId="0" applyNumberFormat="1" applyFill="1" applyBorder="1"/>
    <xf numFmtId="3" fontId="0" fillId="18" borderId="18" xfId="0" applyNumberFormat="1" applyFill="1" applyBorder="1" applyAlignment="1">
      <alignment horizontal="right"/>
    </xf>
    <xf numFmtId="3" fontId="0" fillId="18" borderId="22" xfId="0" applyNumberFormat="1" applyFill="1" applyBorder="1"/>
    <xf numFmtId="0" fontId="0" fillId="0" borderId="18" xfId="0" applyBorder="1"/>
    <xf numFmtId="0" fontId="1" fillId="0" borderId="0" xfId="0" applyFont="1"/>
    <xf numFmtId="0" fontId="12" fillId="2" borderId="7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3" fontId="9" fillId="9" borderId="7" xfId="0" applyNumberFormat="1" applyFont="1" applyFill="1" applyBorder="1"/>
    <xf numFmtId="3" fontId="0" fillId="19" borderId="13" xfId="0" applyNumberForma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3" fontId="4" fillId="19" borderId="7" xfId="0" applyNumberFormat="1" applyFont="1" applyFill="1" applyBorder="1"/>
    <xf numFmtId="0" fontId="0" fillId="0" borderId="27" xfId="0" applyBorder="1"/>
    <xf numFmtId="0" fontId="14" fillId="22" borderId="29" xfId="0" applyFont="1" applyFill="1" applyBorder="1" applyAlignment="1">
      <alignment horizontal="center"/>
    </xf>
    <xf numFmtId="0" fontId="9" fillId="20" borderId="23" xfId="0" applyFont="1" applyFill="1" applyBorder="1" applyAlignment="1">
      <alignment horizontal="center"/>
    </xf>
    <xf numFmtId="3" fontId="4" fillId="16" borderId="24" xfId="0" applyNumberFormat="1" applyFont="1" applyFill="1" applyBorder="1" applyAlignment="1">
      <alignment horizontal="center"/>
    </xf>
    <xf numFmtId="3" fontId="9" fillId="21" borderId="25" xfId="0" applyNumberFormat="1" applyFont="1" applyFill="1" applyBorder="1" applyAlignment="1">
      <alignment horizontal="center"/>
    </xf>
    <xf numFmtId="0" fontId="9" fillId="20" borderId="26" xfId="0" applyFont="1" applyFill="1" applyBorder="1" applyAlignment="1">
      <alignment horizontal="center"/>
    </xf>
    <xf numFmtId="3" fontId="9" fillId="16" borderId="27" xfId="0" applyNumberFormat="1" applyFont="1" applyFill="1" applyBorder="1" applyAlignment="1">
      <alignment horizontal="center"/>
    </xf>
    <xf numFmtId="0" fontId="9" fillId="16" borderId="27" xfId="0" applyFont="1" applyFill="1" applyBorder="1" applyAlignment="1">
      <alignment horizontal="center"/>
    </xf>
    <xf numFmtId="3" fontId="9" fillId="21" borderId="28" xfId="0" applyNumberFormat="1" applyFont="1" applyFill="1" applyBorder="1" applyAlignment="1">
      <alignment horizontal="center"/>
    </xf>
    <xf numFmtId="0" fontId="14" fillId="22" borderId="2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3" fontId="4" fillId="0" borderId="15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3" fontId="4" fillId="0" borderId="18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3" fontId="4" fillId="0" borderId="22" xfId="0" applyNumberFormat="1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3" fillId="5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9" xfId="0" applyFont="1" applyBorder="1"/>
    <xf numFmtId="0" fontId="12" fillId="2" borderId="4" xfId="0" applyFont="1" applyFill="1" applyBorder="1" applyAlignment="1">
      <alignment horizontal="center"/>
    </xf>
    <xf numFmtId="0" fontId="15" fillId="0" borderId="5" xfId="0" applyFont="1" applyBorder="1"/>
    <xf numFmtId="0" fontId="15" fillId="0" borderId="6" xfId="0" applyFont="1" applyBorder="1"/>
    <xf numFmtId="0" fontId="3" fillId="2" borderId="13" xfId="0" applyFont="1" applyFill="1" applyBorder="1" applyAlignment="1">
      <alignment horizontal="center"/>
    </xf>
    <xf numFmtId="0" fontId="5" fillId="0" borderId="13" xfId="0" applyFont="1" applyBorder="1"/>
    <xf numFmtId="0" fontId="3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</cellXfs>
  <cellStyles count="1">
    <cellStyle name="Normal" xfId="0" builtinId="0"/>
  </cellStyles>
  <dxfs count="13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numFmt numFmtId="3" formatCode="#,##0"/>
      <fill>
        <patternFill patternType="solid">
          <fgColor indexed="64"/>
          <bgColor indexed="26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indexed="2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indexed="26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indexed="2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indexed="2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indexed="2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indexed="26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indexed="2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indexed="2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8"/>
          <bgColor theme="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</dxfs>
  <tableStyles count="27">
    <tableStyle name="Produccion-style" pivot="0" count="3" xr9:uid="{00000000-0011-0000-FFFF-FFFF00000000}">
      <tableStyleElement type="headerRow" dxfId="132"/>
      <tableStyleElement type="firstRowStripe" dxfId="131"/>
      <tableStyleElement type="secondRowStripe" dxfId="130"/>
    </tableStyle>
    <tableStyle name="Produccion-style 2" pivot="0" count="3" xr9:uid="{00000000-0011-0000-FFFF-FFFF01000000}">
      <tableStyleElement type="headerRow" dxfId="129"/>
      <tableStyleElement type="firstRowStripe" dxfId="128"/>
      <tableStyleElement type="secondRowStripe" dxfId="127"/>
    </tableStyle>
    <tableStyle name="Capacidad instalada 2024-style" pivot="0" count="3" xr9:uid="{00000000-0011-0000-FFFF-FFFF02000000}">
      <tableStyleElement type="headerRow" dxfId="126"/>
      <tableStyleElement type="firstRowStripe" dxfId="125"/>
      <tableStyleElement type="secondRowStripe" dxfId="124"/>
    </tableStyle>
    <tableStyle name="Capacidad instalada 2024-style 2" pivot="0" count="3" xr9:uid="{00000000-0011-0000-FFFF-FFFF03000000}">
      <tableStyleElement type="headerRow" dxfId="123"/>
      <tableStyleElement type="firstRowStripe" dxfId="122"/>
      <tableStyleElement type="secondRowStripe" dxfId="121"/>
    </tableStyle>
    <tableStyle name="Capacidad instalada 2024-style 3" pivot="0" count="3" xr9:uid="{00000000-0011-0000-FFFF-FFFF04000000}">
      <tableStyleElement type="headerRow" dxfId="120"/>
      <tableStyleElement type="firstRowStripe" dxfId="119"/>
      <tableStyleElement type="secondRowStripe" dxfId="118"/>
    </tableStyle>
    <tableStyle name="Capacidad instalada 2024-style 4" pivot="0" count="3" xr9:uid="{00000000-0011-0000-FFFF-FFFF05000000}">
      <tableStyleElement type="headerRow" dxfId="117"/>
      <tableStyleElement type="firstRowStripe" dxfId="116"/>
      <tableStyleElement type="secondRowStripe" dxfId="115"/>
    </tableStyle>
    <tableStyle name="Capacidad instalada 2024-style 5" pivot="0" count="3" xr9:uid="{00000000-0011-0000-FFFF-FFFF06000000}">
      <tableStyleElement type="headerRow" dxfId="114"/>
      <tableStyleElement type="firstRowStripe" dxfId="113"/>
      <tableStyleElement type="secondRowStripe" dxfId="112"/>
    </tableStyle>
    <tableStyle name="Capacidad instalada 2021-style" pivot="0" count="3" xr9:uid="{00000000-0011-0000-FFFF-FFFF07000000}">
      <tableStyleElement type="headerRow" dxfId="111"/>
      <tableStyleElement type="firstRowStripe" dxfId="110"/>
      <tableStyleElement type="secondRowStripe" dxfId="109"/>
    </tableStyle>
    <tableStyle name="Capacidad instalada 2021-style 2" pivot="0" count="3" xr9:uid="{00000000-0011-0000-FFFF-FFFF08000000}">
      <tableStyleElement type="headerRow" dxfId="108"/>
      <tableStyleElement type="firstRowStripe" dxfId="107"/>
      <tableStyleElement type="secondRowStripe" dxfId="106"/>
    </tableStyle>
    <tableStyle name="Capacidad instalada 2021-style 3" pivot="0" count="3" xr9:uid="{00000000-0011-0000-FFFF-FFFF09000000}">
      <tableStyleElement type="headerRow" dxfId="105"/>
      <tableStyleElement type="firstRowStripe" dxfId="104"/>
      <tableStyleElement type="secondRowStripe" dxfId="103"/>
    </tableStyle>
    <tableStyle name="Capacidad instalada 2021-style 4" pivot="0" count="3" xr9:uid="{00000000-0011-0000-FFFF-FFFF0A000000}">
      <tableStyleElement type="headerRow" dxfId="102"/>
      <tableStyleElement type="firstRowStripe" dxfId="101"/>
      <tableStyleElement type="secondRowStripe" dxfId="100"/>
    </tableStyle>
    <tableStyle name="Capacidad instalada 2021-style 5" pivot="0" count="3" xr9:uid="{00000000-0011-0000-FFFF-FFFF0B000000}">
      <tableStyleElement type="headerRow" dxfId="99"/>
      <tableStyleElement type="firstRowStripe" dxfId="98"/>
      <tableStyleElement type="secondRowStripe" dxfId="97"/>
    </tableStyle>
    <tableStyle name="Produccion local vs nacional-style" pivot="0" count="3" xr9:uid="{00000000-0011-0000-FFFF-FFFF0C000000}">
      <tableStyleElement type="headerRow" dxfId="96"/>
      <tableStyleElement type="firstRowStripe" dxfId="95"/>
      <tableStyleElement type="secondRowStripe" dxfId="94"/>
    </tableStyle>
    <tableStyle name="Produccion local vs nacional-style 2" pivot="0" count="3" xr9:uid="{00000000-0011-0000-FFFF-FFFF0D000000}">
      <tableStyleElement type="headerRow" dxfId="93"/>
      <tableStyleElement type="firstRowStripe" dxfId="92"/>
      <tableStyleElement type="secondRowStripe" dxfId="91"/>
    </tableStyle>
    <tableStyle name="Produccion local vs nacional-style 3" pivot="0" count="3" xr9:uid="{00000000-0011-0000-FFFF-FFFF0E000000}">
      <tableStyleElement type="headerRow" dxfId="90"/>
      <tableStyleElement type="firstRowStripe" dxfId="89"/>
      <tableStyleElement type="secondRowStripe" dxfId="88"/>
    </tableStyle>
    <tableStyle name="Impo y Expo-style" pivot="0" count="3" xr9:uid="{00000000-0011-0000-FFFF-FFFF0F000000}">
      <tableStyleElement type="headerRow" dxfId="87"/>
      <tableStyleElement type="firstRowStripe" dxfId="86"/>
      <tableStyleElement type="secondRowStripe" dxfId="85"/>
    </tableStyle>
    <tableStyle name="Impo y Expo-style 2" pivot="0" count="3" xr9:uid="{00000000-0011-0000-FFFF-FFFF10000000}">
      <tableStyleElement type="headerRow" dxfId="84"/>
      <tableStyleElement type="firstRowStripe" dxfId="83"/>
      <tableStyleElement type="secondRowStripe" dxfId="82"/>
    </tableStyle>
    <tableStyle name="Impo y Expo-style 3" pivot="0" count="3" xr9:uid="{00000000-0011-0000-FFFF-FFFF11000000}">
      <tableStyleElement type="headerRow" dxfId="81"/>
      <tableStyleElement type="firstRowStripe" dxfId="80"/>
      <tableStyleElement type="secondRowStripe" dxfId="79"/>
    </tableStyle>
    <tableStyle name="Impo y Expo-style 4" pivot="0" count="3" xr9:uid="{00000000-0011-0000-FFFF-FFFF12000000}">
      <tableStyleElement type="headerRow" dxfId="78"/>
      <tableStyleElement type="firstRowStripe" dxfId="77"/>
      <tableStyleElement type="secondRowStripe" dxfId="76"/>
    </tableStyle>
    <tableStyle name="Impo y Expo-style 5" pivot="0" count="3" xr9:uid="{00000000-0011-0000-FFFF-FFFF13000000}">
      <tableStyleElement type="headerRow" dxfId="75"/>
      <tableStyleElement type="firstRowStripe" dxfId="74"/>
      <tableStyleElement type="secondRowStripe" dxfId="73"/>
    </tableStyle>
    <tableStyle name="Impo y Expo-style 6" pivot="0" count="3" xr9:uid="{00000000-0011-0000-FFFF-FFFF14000000}">
      <tableStyleElement type="headerRow" dxfId="72"/>
      <tableStyleElement type="firstRowStripe" dxfId="71"/>
      <tableStyleElement type="secondRowStripe" dxfId="70"/>
    </tableStyle>
    <tableStyle name="Consumo aparente nacional-style" pivot="0" count="3" xr9:uid="{00000000-0011-0000-FFFF-FFFF15000000}">
      <tableStyleElement type="headerRow" dxfId="69"/>
      <tableStyleElement type="firstRowStripe" dxfId="68"/>
      <tableStyleElement type="secondRowStripe" dxfId="67"/>
    </tableStyle>
    <tableStyle name="Consumo aparente nacional-style 2" pivot="0" count="3" xr9:uid="{00000000-0011-0000-FFFF-FFFF16000000}">
      <tableStyleElement type="headerRow" dxfId="66"/>
      <tableStyleElement type="firstRowStripe" dxfId="65"/>
      <tableStyleElement type="secondRowStripe" dxfId="64"/>
    </tableStyle>
    <tableStyle name="Materias primas-style" pivot="0" count="3" xr9:uid="{00000000-0011-0000-FFFF-FFFF17000000}">
      <tableStyleElement type="headerRow" dxfId="63"/>
      <tableStyleElement type="firstRowStripe" dxfId="62"/>
      <tableStyleElement type="secondRowStripe" dxfId="61"/>
    </tableStyle>
    <tableStyle name="Materias primas-style 2" pivot="0" count="3" xr9:uid="{00000000-0011-0000-FFFF-FFFF18000000}">
      <tableStyleElement type="headerRow" dxfId="60"/>
      <tableStyleElement type="firstRowStripe" dxfId="59"/>
      <tableStyleElement type="secondRowStripe" dxfId="58"/>
    </tableStyle>
    <tableStyle name="Clasificacion de bienes-style" pivot="0" count="3" xr9:uid="{00000000-0011-0000-FFFF-FFFF19000000}">
      <tableStyleElement type="headerRow" dxfId="57"/>
      <tableStyleElement type="firstRowStripe" dxfId="56"/>
      <tableStyleElement type="secondRowStripe" dxfId="55"/>
    </tableStyle>
    <tableStyle name="Capacidad instalada ind quim-style" pivot="0" count="3" xr9:uid="{00000000-0011-0000-FFFF-FFFF1A000000}">
      <tableStyleElement type="headerRow" dxfId="54"/>
      <tableStyleElement type="firstRowStripe" dxfId="53"/>
      <tableStyleElement type="secondRowStripe" dxfId="52"/>
    </tableStyle>
  </tableStyles>
  <colors>
    <mruColors>
      <color rgb="FF760694"/>
      <color rgb="FFF68E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Basicos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Produccion!$D$17:$D$26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Produccion!$E$17:$E$26</c:f>
              <c:numCache>
                <c:formatCode>0</c:formatCode>
                <c:ptCount val="10"/>
                <c:pt idx="0">
                  <c:v>2.4359000000000002</c:v>
                </c:pt>
                <c:pt idx="1">
                  <c:v>2.6065</c:v>
                </c:pt>
                <c:pt idx="2">
                  <c:v>2.5467</c:v>
                </c:pt>
                <c:pt idx="3">
                  <c:v>2.3664999999999998</c:v>
                </c:pt>
                <c:pt idx="4">
                  <c:v>2.2381000000000002</c:v>
                </c:pt>
                <c:pt idx="5">
                  <c:v>2.1766000000000001</c:v>
                </c:pt>
                <c:pt idx="6">
                  <c:v>2.1612</c:v>
                </c:pt>
                <c:pt idx="7">
                  <c:v>2.5663</c:v>
                </c:pt>
                <c:pt idx="8">
                  <c:v>2.4548999999999999</c:v>
                </c:pt>
                <c:pt idx="9">
                  <c:v>2.4849999999999999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CA-413E-B1D8-9CF67E017032}"/>
            </c:ext>
          </c:extLst>
        </c:ser>
        <c:ser>
          <c:idx val="1"/>
          <c:order val="1"/>
          <c:tx>
            <c:v>Intermedios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Produccion!$D$17:$D$26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Produccion!$F$17:$F$26</c:f>
              <c:numCache>
                <c:formatCode>0</c:formatCode>
                <c:ptCount val="10"/>
                <c:pt idx="0">
                  <c:v>0.80900000000000005</c:v>
                </c:pt>
                <c:pt idx="1">
                  <c:v>0.8196</c:v>
                </c:pt>
                <c:pt idx="2">
                  <c:v>0.74909999999999999</c:v>
                </c:pt>
                <c:pt idx="3">
                  <c:v>0.69210000000000005</c:v>
                </c:pt>
                <c:pt idx="4">
                  <c:v>0.61319999999999997</c:v>
                </c:pt>
                <c:pt idx="5">
                  <c:v>0.58850000000000002</c:v>
                </c:pt>
                <c:pt idx="6">
                  <c:v>0.67969999999999997</c:v>
                </c:pt>
                <c:pt idx="7">
                  <c:v>0.74060000000000004</c:v>
                </c:pt>
                <c:pt idx="8">
                  <c:v>0.70109999999999995</c:v>
                </c:pt>
                <c:pt idx="9">
                  <c:v>0.64270000000000005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FCA-413E-B1D8-9CF67E017032}"/>
            </c:ext>
          </c:extLst>
        </c:ser>
        <c:ser>
          <c:idx val="2"/>
          <c:order val="2"/>
          <c:tx>
            <c:v>Finales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Produccion!$D$17:$D$26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Produccion!$G$17:$G$26</c:f>
              <c:numCache>
                <c:formatCode>0</c:formatCode>
                <c:ptCount val="10"/>
                <c:pt idx="0">
                  <c:v>2.5598000000000001</c:v>
                </c:pt>
                <c:pt idx="1">
                  <c:v>2.7989999999999999</c:v>
                </c:pt>
                <c:pt idx="2">
                  <c:v>3.0928</c:v>
                </c:pt>
                <c:pt idx="3">
                  <c:v>2.6021999999999998</c:v>
                </c:pt>
                <c:pt idx="4">
                  <c:v>2.5217999999999998</c:v>
                </c:pt>
                <c:pt idx="5">
                  <c:v>2.7187000000000001</c:v>
                </c:pt>
                <c:pt idx="6">
                  <c:v>2.4472</c:v>
                </c:pt>
                <c:pt idx="7">
                  <c:v>3.0606</c:v>
                </c:pt>
                <c:pt idx="8">
                  <c:v>2.9401000000000002</c:v>
                </c:pt>
                <c:pt idx="9">
                  <c:v>2.8089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FCA-413E-B1D8-9CF67E017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9142255"/>
        <c:axId val="188884562"/>
      </c:barChart>
      <c:catAx>
        <c:axId val="929142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88884562"/>
        <c:crosses val="autoZero"/>
        <c:auto val="1"/>
        <c:lblAlgn val="ctr"/>
        <c:lblOffset val="100"/>
        <c:noMultiLvlLbl val="1"/>
      </c:catAx>
      <c:valAx>
        <c:axId val="188884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9291422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'Produccion local vs nacional'!$L$5:$L$14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'Produccion local vs nacional'!$M$5:$M$14</c:f>
              <c:numCache>
                <c:formatCode>#,##0</c:formatCode>
                <c:ptCount val="10"/>
                <c:pt idx="0">
                  <c:v>3.424293</c:v>
                </c:pt>
                <c:pt idx="1">
                  <c:v>3.9312710000000002</c:v>
                </c:pt>
                <c:pt idx="2">
                  <c:v>4.2361760000000004</c:v>
                </c:pt>
                <c:pt idx="3">
                  <c:v>3.5225610000000001</c:v>
                </c:pt>
                <c:pt idx="4">
                  <c:v>3.425754</c:v>
                </c:pt>
                <c:pt idx="5">
                  <c:v>3.9129170000000002</c:v>
                </c:pt>
                <c:pt idx="6">
                  <c:v>3.22912</c:v>
                </c:pt>
                <c:pt idx="7">
                  <c:v>4.1837850000000003</c:v>
                </c:pt>
                <c:pt idx="8">
                  <c:v>3.994434</c:v>
                </c:pt>
                <c:pt idx="9">
                  <c:v>3.999692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2D-49F5-95D3-C148AE80733C}"/>
            </c:ext>
          </c:extLst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'Produccion local vs nacional'!$L$5:$L$14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'Produccion local vs nacional'!$N$5:$N$14</c:f>
              <c:numCache>
                <c:formatCode>#,##0</c:formatCode>
                <c:ptCount val="10"/>
                <c:pt idx="0">
                  <c:v>5.8047000000000004</c:v>
                </c:pt>
                <c:pt idx="1">
                  <c:v>6.2251000000000003</c:v>
                </c:pt>
                <c:pt idx="2">
                  <c:v>6.3886000000000003</c:v>
                </c:pt>
                <c:pt idx="3">
                  <c:v>5.6608000000000001</c:v>
                </c:pt>
                <c:pt idx="4">
                  <c:v>5.3731</c:v>
                </c:pt>
                <c:pt idx="5">
                  <c:v>5.4837999999999996</c:v>
                </c:pt>
                <c:pt idx="6">
                  <c:v>5.2881</c:v>
                </c:pt>
                <c:pt idx="7">
                  <c:v>6.3674999999999997</c:v>
                </c:pt>
                <c:pt idx="8">
                  <c:v>6.0960999999999999</c:v>
                </c:pt>
                <c:pt idx="9">
                  <c:v>5.9366000000000003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E2D-49F5-95D3-C148AE807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853885"/>
        <c:axId val="1922591928"/>
      </c:barChart>
      <c:catAx>
        <c:axId val="952853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700" b="0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922591928"/>
        <c:crosses val="autoZero"/>
        <c:auto val="1"/>
        <c:lblAlgn val="ctr"/>
        <c:lblOffset val="100"/>
        <c:noMultiLvlLbl val="1"/>
      </c:catAx>
      <c:valAx>
        <c:axId val="1922591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700" b="0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95285388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700" b="1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'Impo y Expo'!$U$3</c:f>
              <c:strCache>
                <c:ptCount val="1"/>
                <c:pt idx="0">
                  <c:v>$ Importaciones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'Impo y Expo'!$T$4:$T$7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'Impo y Expo'!$U$4:$U$7</c:f>
              <c:numCache>
                <c:formatCode>#,##0</c:formatCode>
                <c:ptCount val="4"/>
                <c:pt idx="0">
                  <c:v>3849.8030829999998</c:v>
                </c:pt>
                <c:pt idx="1">
                  <c:v>4660.8765679999997</c:v>
                </c:pt>
                <c:pt idx="2">
                  <c:v>3008.2547060000002</c:v>
                </c:pt>
                <c:pt idx="3">
                  <c:v>2711.1955210000001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9-4E1C-90A2-CD11FF1A0FA8}"/>
            </c:ext>
          </c:extLst>
        </c:ser>
        <c:ser>
          <c:idx val="1"/>
          <c:order val="1"/>
          <c:tx>
            <c:strRef>
              <c:f>'Impo y Expo'!$V$3</c:f>
              <c:strCache>
                <c:ptCount val="1"/>
                <c:pt idx="0">
                  <c:v>$ Exportaciones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'Impo y Expo'!$T$4:$T$7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'Impo y Expo'!$V$4:$V$7</c:f>
              <c:numCache>
                <c:formatCode>#,##0</c:formatCode>
                <c:ptCount val="4"/>
                <c:pt idx="0">
                  <c:v>849.62506499999995</c:v>
                </c:pt>
                <c:pt idx="1">
                  <c:v>942.035394</c:v>
                </c:pt>
                <c:pt idx="2">
                  <c:v>629.08204499999999</c:v>
                </c:pt>
                <c:pt idx="3">
                  <c:v>910.82527600000003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99-4E1C-90A2-CD11FF1A0FA8}"/>
            </c:ext>
          </c:extLst>
        </c:ser>
        <c:ser>
          <c:idx val="2"/>
          <c:order val="2"/>
          <c:tx>
            <c:strRef>
              <c:f>'Impo y Expo'!$W$3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'Impo y Expo'!$T$4:$T$7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'Impo y Expo'!$W$4:$W$7</c:f>
              <c:numCache>
                <c:formatCode>#,##0</c:formatCode>
                <c:ptCount val="4"/>
                <c:pt idx="0">
                  <c:v>-3000.1780179999996</c:v>
                </c:pt>
                <c:pt idx="1">
                  <c:v>-3718.8411739999997</c:v>
                </c:pt>
                <c:pt idx="2">
                  <c:v>-2379.1726610000001</c:v>
                </c:pt>
                <c:pt idx="3">
                  <c:v>-1800.3702450000001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99-4E1C-90A2-CD11FF1A0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009503"/>
        <c:axId val="2045018143"/>
      </c:barChart>
      <c:catAx>
        <c:axId val="20450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accent1">
                <a:alpha val="9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(Cuerpo)"/>
                <a:ea typeface="+mn-ea"/>
                <a:cs typeface="+mn-cs"/>
              </a:defRPr>
            </a:pPr>
            <a:endParaRPr lang="es-AR"/>
          </a:p>
        </c:txPr>
        <c:crossAx val="2045018143"/>
        <c:crosses val="autoZero"/>
        <c:auto val="0"/>
        <c:lblAlgn val="ctr"/>
        <c:lblOffset val="100"/>
        <c:noMultiLvlLbl val="0"/>
      </c:catAx>
      <c:valAx>
        <c:axId val="204501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(Cuerpo)"/>
                <a:ea typeface="+mn-ea"/>
                <a:cs typeface="+mn-cs"/>
              </a:defRPr>
            </a:pPr>
            <a:endParaRPr lang="es-AR"/>
          </a:p>
        </c:txPr>
        <c:crossAx val="204500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Cuerpo)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 (Cuerpo)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Exportaciones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'Impo y Expo'!$M$18:$M$27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'Impo y Expo'!$N$18:$N$27</c:f>
              <c:numCache>
                <c:formatCode>0.00</c:formatCode>
                <c:ptCount val="10"/>
                <c:pt idx="0">
                  <c:v>0.86670000000000003</c:v>
                </c:pt>
                <c:pt idx="1">
                  <c:v>0.93940000000000001</c:v>
                </c:pt>
                <c:pt idx="2">
                  <c:v>0.74160000000000004</c:v>
                </c:pt>
                <c:pt idx="3">
                  <c:v>0.91659999999999997</c:v>
                </c:pt>
                <c:pt idx="4">
                  <c:v>0.89500000000000002</c:v>
                </c:pt>
                <c:pt idx="5">
                  <c:v>0.71799999999999997</c:v>
                </c:pt>
                <c:pt idx="6">
                  <c:v>0.68169999999999997</c:v>
                </c:pt>
                <c:pt idx="7">
                  <c:v>0.62</c:v>
                </c:pt>
                <c:pt idx="8">
                  <c:v>0.65869999999999995</c:v>
                </c:pt>
                <c:pt idx="9">
                  <c:v>0.94040000000000001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6C-4AB8-8FE6-2568027425B6}"/>
            </c:ext>
          </c:extLst>
        </c:ser>
        <c:ser>
          <c:idx val="1"/>
          <c:order val="1"/>
          <c:tx>
            <c:v>Importaciones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'Impo y Expo'!$M$18:$M$27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'Impo y Expo'!$O$18:$O$27</c:f>
              <c:numCache>
                <c:formatCode>0.00</c:formatCode>
                <c:ptCount val="10"/>
                <c:pt idx="0">
                  <c:v>1.6977</c:v>
                </c:pt>
                <c:pt idx="1">
                  <c:v>1.9755</c:v>
                </c:pt>
                <c:pt idx="2">
                  <c:v>1.9417</c:v>
                </c:pt>
                <c:pt idx="3">
                  <c:v>2.2484000000000002</c:v>
                </c:pt>
                <c:pt idx="4">
                  <c:v>2.3801999999999999</c:v>
                </c:pt>
                <c:pt idx="5">
                  <c:v>2.7463000000000002</c:v>
                </c:pt>
                <c:pt idx="6">
                  <c:v>3.27</c:v>
                </c:pt>
                <c:pt idx="7">
                  <c:v>2.4742999999999999</c:v>
                </c:pt>
                <c:pt idx="8">
                  <c:v>2.2193000000000001</c:v>
                </c:pt>
                <c:pt idx="9">
                  <c:v>2.3178999999999998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6C-4AB8-8FE6-256802742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8640"/>
        <c:axId val="1794776338"/>
      </c:barChart>
      <c:catAx>
        <c:axId val="1261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794776338"/>
        <c:crosses val="autoZero"/>
        <c:auto val="1"/>
        <c:lblAlgn val="ctr"/>
        <c:lblOffset val="100"/>
        <c:noMultiLvlLbl val="1"/>
      </c:catAx>
      <c:valAx>
        <c:axId val="1794776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261864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spPr>
    <a:ln>
      <a:miter lim="800000"/>
    </a:ln>
    <a:effectLst>
      <a:softEdge rad="0"/>
    </a:effec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Basicos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'Consumo aparente nacional'!$D$17:$D$26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'Consumo aparente nacional'!$E$17:$E$26</c:f>
              <c:numCache>
                <c:formatCode>0</c:formatCode>
                <c:ptCount val="10"/>
                <c:pt idx="0">
                  <c:v>2.2282999999999999</c:v>
                </c:pt>
                <c:pt idx="1">
                  <c:v>2.5171999999999999</c:v>
                </c:pt>
                <c:pt idx="2">
                  <c:v>2.6128999999999998</c:v>
                </c:pt>
                <c:pt idx="3">
                  <c:v>2.2629999999999999</c:v>
                </c:pt>
                <c:pt idx="4">
                  <c:v>2.1564999999999999</c:v>
                </c:pt>
                <c:pt idx="5">
                  <c:v>2.1509</c:v>
                </c:pt>
                <c:pt idx="6">
                  <c:v>2.0442</c:v>
                </c:pt>
                <c:pt idx="7">
                  <c:v>2.5682</c:v>
                </c:pt>
                <c:pt idx="8">
                  <c:v>2.2909999999999999</c:v>
                </c:pt>
                <c:pt idx="9">
                  <c:v>2.2564000000000002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F7-4EA7-B75C-DDE4BCD62B3E}"/>
            </c:ext>
          </c:extLst>
        </c:ser>
        <c:ser>
          <c:idx val="1"/>
          <c:order val="1"/>
          <c:tx>
            <c:v>Intermedios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'Consumo aparente nacional'!$D$17:$D$26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'Consumo aparente nacional'!$F$17:$F$26</c:f>
              <c:numCache>
                <c:formatCode>0</c:formatCode>
                <c:ptCount val="10"/>
                <c:pt idx="0">
                  <c:v>1.1298999999999999</c:v>
                </c:pt>
                <c:pt idx="1">
                  <c:v>1.0814999999999999</c:v>
                </c:pt>
                <c:pt idx="2">
                  <c:v>1.0417000000000001</c:v>
                </c:pt>
                <c:pt idx="3">
                  <c:v>0.9929</c:v>
                </c:pt>
                <c:pt idx="4">
                  <c:v>0.877</c:v>
                </c:pt>
                <c:pt idx="5">
                  <c:v>0.88680000000000003</c:v>
                </c:pt>
                <c:pt idx="6">
                  <c:v>1.0628</c:v>
                </c:pt>
                <c:pt idx="7">
                  <c:v>1.1151</c:v>
                </c:pt>
                <c:pt idx="8">
                  <c:v>1.0508</c:v>
                </c:pt>
                <c:pt idx="9">
                  <c:v>0.85289999999999999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3F7-4EA7-B75C-DDE4BCD62B3E}"/>
            </c:ext>
          </c:extLst>
        </c:ser>
        <c:ser>
          <c:idx val="2"/>
          <c:order val="2"/>
          <c:tx>
            <c:v>Finales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'Consumo aparente nacional'!$D$17:$D$26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'Consumo aparente nacional'!$G$17:$G$26</c:f>
              <c:numCache>
                <c:formatCode>0</c:formatCode>
                <c:ptCount val="10"/>
                <c:pt idx="0">
                  <c:v>3.2774999999999999</c:v>
                </c:pt>
                <c:pt idx="1">
                  <c:v>3.6625000000000001</c:v>
                </c:pt>
                <c:pt idx="2">
                  <c:v>3.9340999999999999</c:v>
                </c:pt>
                <c:pt idx="3">
                  <c:v>3.7366999999999999</c:v>
                </c:pt>
                <c:pt idx="4">
                  <c:v>3.8248000000000002</c:v>
                </c:pt>
                <c:pt idx="5">
                  <c:v>4.4744000000000002</c:v>
                </c:pt>
                <c:pt idx="6">
                  <c:v>4.7694000000000001</c:v>
                </c:pt>
                <c:pt idx="7">
                  <c:v>4.5385</c:v>
                </c:pt>
                <c:pt idx="8">
                  <c:v>4.3148999999999997</c:v>
                </c:pt>
                <c:pt idx="9">
                  <c:v>4.2047999999999996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3F7-4EA7-B75C-DDE4BCD62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740517"/>
        <c:axId val="836444347"/>
      </c:barChart>
      <c:catAx>
        <c:axId val="26740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836444347"/>
        <c:crosses val="autoZero"/>
        <c:auto val="1"/>
        <c:lblAlgn val="ctr"/>
        <c:lblOffset val="100"/>
        <c:noMultiLvlLbl val="1"/>
      </c:catAx>
      <c:valAx>
        <c:axId val="836444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674051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Etano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'Materias primas'!$D$14:$H$14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'Materias primas'!$D$15:$H$15</c:f>
              <c:numCache>
                <c:formatCode>0.0</c:formatCode>
                <c:ptCount val="5"/>
                <c:pt idx="0">
                  <c:v>0.937859</c:v>
                </c:pt>
                <c:pt idx="1">
                  <c:v>0.83660500000000004</c:v>
                </c:pt>
                <c:pt idx="2">
                  <c:v>0.91345399999999999</c:v>
                </c:pt>
                <c:pt idx="3">
                  <c:v>0.97391899999999998</c:v>
                </c:pt>
                <c:pt idx="4">
                  <c:v>0.84440000000000004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CC-4F0F-81D6-12F4F9429E2E}"/>
            </c:ext>
          </c:extLst>
        </c:ser>
        <c:ser>
          <c:idx val="1"/>
          <c:order val="1"/>
          <c:tx>
            <c:v>Propano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'Materias primas'!$D$14:$H$14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'Materias primas'!$D$16:$H$16</c:f>
              <c:numCache>
                <c:formatCode>0.0</c:formatCode>
                <c:ptCount val="5"/>
                <c:pt idx="0">
                  <c:v>1.3649530000000001</c:v>
                </c:pt>
                <c:pt idx="1">
                  <c:v>1.399535</c:v>
                </c:pt>
                <c:pt idx="2">
                  <c:v>1.4748829999999999</c:v>
                </c:pt>
                <c:pt idx="3">
                  <c:v>1.515449</c:v>
                </c:pt>
                <c:pt idx="4">
                  <c:v>1.518875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CC-4F0F-81D6-12F4F9429E2E}"/>
            </c:ext>
          </c:extLst>
        </c:ser>
        <c:ser>
          <c:idx val="2"/>
          <c:order val="2"/>
          <c:tx>
            <c:v>Butano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'Materias primas'!$D$14:$H$14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'Materias primas'!$D$17:$H$17</c:f>
              <c:numCache>
                <c:formatCode>0.0</c:formatCode>
                <c:ptCount val="5"/>
                <c:pt idx="0">
                  <c:v>1.0512509999999999</c:v>
                </c:pt>
                <c:pt idx="1">
                  <c:v>1.0367109999999999</c:v>
                </c:pt>
                <c:pt idx="2">
                  <c:v>1.1956990000000001</c:v>
                </c:pt>
                <c:pt idx="3">
                  <c:v>1.31718</c:v>
                </c:pt>
                <c:pt idx="4">
                  <c:v>1.376525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5CC-4F0F-81D6-12F4F9429E2E}"/>
            </c:ext>
          </c:extLst>
        </c:ser>
        <c:ser>
          <c:idx val="3"/>
          <c:order val="3"/>
          <c:tx>
            <c:v>Nafta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'Materias primas'!$D$14:$H$14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'Materias primas'!$D$18:$H$18</c:f>
              <c:numCache>
                <c:formatCode>0.0</c:formatCode>
                <c:ptCount val="5"/>
                <c:pt idx="0">
                  <c:v>1.5478179999999999</c:v>
                </c:pt>
                <c:pt idx="1">
                  <c:v>1.7381420000000001</c:v>
                </c:pt>
                <c:pt idx="2">
                  <c:v>1.815707</c:v>
                </c:pt>
                <c:pt idx="3">
                  <c:v>1.6151599999999999</c:v>
                </c:pt>
                <c:pt idx="4">
                  <c:v>1.6823220000000001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5CC-4F0F-81D6-12F4F9429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799894"/>
        <c:axId val="1473301758"/>
      </c:barChart>
      <c:catAx>
        <c:axId val="2026799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473301758"/>
        <c:crosses val="autoZero"/>
        <c:auto val="1"/>
        <c:lblAlgn val="ctr"/>
        <c:lblOffset val="100"/>
        <c:noMultiLvlLbl val="1"/>
      </c:catAx>
      <c:valAx>
        <c:axId val="1473301758"/>
        <c:scaling>
          <c:orientation val="minMax"/>
          <c:max val="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02679989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15</xdr:row>
      <xdr:rowOff>0</xdr:rowOff>
    </xdr:from>
    <xdr:ext cx="4638675" cy="2905125"/>
    <xdr:graphicFrame macro="">
      <xdr:nvGraphicFramePr>
        <xdr:cNvPr id="753444267" name="Chart 1">
          <a:extLst>
            <a:ext uri="{FF2B5EF4-FFF2-40B4-BE49-F238E27FC236}">
              <a16:creationId xmlns:a16="http://schemas.microsoft.com/office/drawing/2014/main" id="{00000000-0008-0000-0000-0000ABA5E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771525</xdr:colOff>
      <xdr:row>0</xdr:row>
      <xdr:rowOff>180975</xdr:rowOff>
    </xdr:from>
    <xdr:ext cx="4838700" cy="2771775"/>
    <xdr:graphicFrame macro="">
      <xdr:nvGraphicFramePr>
        <xdr:cNvPr id="1250288162" name="Chart 2">
          <a:extLst>
            <a:ext uri="{FF2B5EF4-FFF2-40B4-BE49-F238E27FC236}">
              <a16:creationId xmlns:a16="http://schemas.microsoft.com/office/drawing/2014/main" id="{00000000-0008-0000-0300-000022E28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5602</xdr:colOff>
      <xdr:row>11</xdr:row>
      <xdr:rowOff>23531</xdr:rowOff>
    </xdr:from>
    <xdr:to>
      <xdr:col>23</xdr:col>
      <xdr:colOff>705971</xdr:colOff>
      <xdr:row>26</xdr:row>
      <xdr:rowOff>44823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B53082-F2B4-F090-C3A0-8DB2EA3EE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26</xdr:col>
      <xdr:colOff>0</xdr:colOff>
      <xdr:row>11</xdr:row>
      <xdr:rowOff>0</xdr:rowOff>
    </xdr:from>
    <xdr:ext cx="4420161" cy="2492748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CD021F46-C1DB-4E3B-8879-B625E2534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704850</xdr:colOff>
      <xdr:row>14</xdr:row>
      <xdr:rowOff>180975</xdr:rowOff>
    </xdr:from>
    <xdr:ext cx="4286250" cy="2876550"/>
    <xdr:graphicFrame macro="">
      <xdr:nvGraphicFramePr>
        <xdr:cNvPr id="1003400629" name="Chart 4" title="Gráfico">
          <a:extLst>
            <a:ext uri="{FF2B5EF4-FFF2-40B4-BE49-F238E27FC236}">
              <a16:creationId xmlns:a16="http://schemas.microsoft.com/office/drawing/2014/main" id="{00000000-0008-0000-0500-0000B5ADC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6</xdr:row>
      <xdr:rowOff>180975</xdr:rowOff>
    </xdr:from>
    <xdr:ext cx="4286250" cy="2876550"/>
    <xdr:graphicFrame macro="">
      <xdr:nvGraphicFramePr>
        <xdr:cNvPr id="935230394" name="Chart 5" title="Gráfico">
          <a:extLst>
            <a:ext uri="{FF2B5EF4-FFF2-40B4-BE49-F238E27FC236}">
              <a16:creationId xmlns:a16="http://schemas.microsoft.com/office/drawing/2014/main" id="{00000000-0008-0000-0600-0000BA7BB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3:K13" headerRowDxfId="38" totalsRowDxfId="35" headerRowBorderDxfId="37" tableBorderDxfId="36">
  <tableColumns count="8">
    <tableColumn id="1" xr3:uid="{00000000-0010-0000-0000-000001000000}" name="Año" dataDxfId="34"/>
    <tableColumn id="2" xr3:uid="{00000000-0010-0000-0000-000002000000}" name="Basicos" dataDxfId="33"/>
    <tableColumn id="3" xr3:uid="{00000000-0010-0000-0000-000003000000}" name="% Basicos" dataDxfId="32"/>
    <tableColumn id="4" xr3:uid="{00000000-0010-0000-0000-000004000000}" name="Intermedios" dataDxfId="31"/>
    <tableColumn id="5" xr3:uid="{00000000-0010-0000-0000-000005000000}" name="% Intermedios" dataDxfId="30"/>
    <tableColumn id="6" xr3:uid="{00000000-0010-0000-0000-000006000000}" name="Finales" dataDxfId="29"/>
    <tableColumn id="7" xr3:uid="{00000000-0010-0000-0000-000007000000}" name="% Finales" dataDxfId="28"/>
    <tableColumn id="8" xr3:uid="{00000000-0010-0000-0000-000008000000}" name="Total" dataDxfId="27"/>
  </tableColumns>
  <tableStyleInfo name="Producc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16:H26" headerRowDxfId="26" totalsRowDxfId="25">
  <tableColumns count="5">
    <tableColumn id="1" xr3:uid="{00000000-0010-0000-0100-000001000000}" name="Año" dataDxfId="24"/>
    <tableColumn id="2" xr3:uid="{00000000-0010-0000-0100-000002000000}" name="Basicos" dataDxfId="23"/>
    <tableColumn id="3" xr3:uid="{00000000-0010-0000-0100-000003000000}" name="Intermedios" dataDxfId="22"/>
    <tableColumn id="4" xr3:uid="{00000000-0010-0000-0100-000004000000}" name="Finales" dataDxfId="21"/>
    <tableColumn id="5" xr3:uid="{00000000-0010-0000-0100-000005000000}" name="Total" dataDxfId="20"/>
  </tableColumns>
  <tableStyleInfo name="Producc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I152">
  <tableColumns count="8">
    <tableColumn id="1" xr3:uid="{00000000-0010-0000-0200-000001000000}" name="Producto Petroquimico"/>
    <tableColumn id="2" xr3:uid="{00000000-0010-0000-0200-000002000000}" name="Planta"/>
    <tableColumn id="3" xr3:uid="{00000000-0010-0000-0200-000003000000}" name="Ciudad"/>
    <tableColumn id="4" xr3:uid="{00000000-0010-0000-0200-000004000000}" name="Provincia"/>
    <tableColumn id="5" xr3:uid="{00000000-0010-0000-0200-000005000000}" name="Tipo de producto"/>
    <tableColumn id="6" xr3:uid="{00000000-0010-0000-0200-000006000000}" name="Valor"/>
    <tableColumn id="7" xr3:uid="{00000000-0010-0000-0200-000007000000}" name="Capacidad instalada activa"/>
    <tableColumn id="8" xr3:uid="{00000000-0010-0000-0200-000008000000}" name="Plantas inactivas/cerradas"/>
  </tableColumns>
  <tableStyleInfo name="Capacidad instalada 2024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K3:M24">
  <tableColumns count="3">
    <tableColumn id="1" xr3:uid="{00000000-0010-0000-0300-000001000000}" name="Ciudad"/>
    <tableColumn id="2" xr3:uid="{00000000-0010-0000-0300-000002000000}" name="Capacidad instalada"/>
    <tableColumn id="3" xr3:uid="{00000000-0010-0000-0300-000003000000}" name="% del total"/>
  </tableColumns>
  <tableStyleInfo name="Capacidad instalada 2024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P3:R12">
  <tableColumns count="3">
    <tableColumn id="1" xr3:uid="{00000000-0010-0000-0400-000001000000}" name="Provincia"/>
    <tableColumn id="2" xr3:uid="{00000000-0010-0000-0400-000002000000}" name="Capacidad instalada"/>
    <tableColumn id="3" xr3:uid="{00000000-0010-0000-0400-000003000000}" name="% del total"/>
  </tableColumns>
  <tableStyleInfo name="Capacidad instalada 2024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P15:R26">
  <tableColumns count="3">
    <tableColumn id="1" xr3:uid="{00000000-0010-0000-0500-000001000000}" name="Ciudad"/>
    <tableColumn id="2" xr3:uid="{00000000-0010-0000-0500-000002000000}" name="Capacidad instalada"/>
    <tableColumn id="3" xr3:uid="{00000000-0010-0000-0500-000003000000}" name="% del total"/>
  </tableColumns>
  <tableStyleInfo name="Capacidad instalada 2024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K29:M73">
  <tableColumns count="3">
    <tableColumn id="1" xr3:uid="{00000000-0010-0000-0600-000001000000}" name="Basicos"/>
    <tableColumn id="2" xr3:uid="{00000000-0010-0000-0600-000002000000}" name="Intermedios"/>
    <tableColumn id="3" xr3:uid="{00000000-0010-0000-0600-000003000000}" name="Finales"/>
  </tableColumns>
  <tableStyleInfo name="Capacidad instalada 2024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3:F152">
  <tableColumns count="5">
    <tableColumn id="1" xr3:uid="{00000000-0010-0000-0700-000001000000}" name="Producto Petroquimico"/>
    <tableColumn id="2" xr3:uid="{00000000-0010-0000-0700-000002000000}" name="Planta"/>
    <tableColumn id="3" xr3:uid="{00000000-0010-0000-0700-000003000000}" name="Ciudad"/>
    <tableColumn id="4" xr3:uid="{00000000-0010-0000-0700-000004000000}" name="Provincia"/>
    <tableColumn id="5" xr3:uid="{00000000-0010-0000-0700-000005000000}" name="Capacidad instalada activa"/>
  </tableColumns>
  <tableStyleInfo name="Capacidad instalada 2021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I3:K28">
  <tableColumns count="3">
    <tableColumn id="1" xr3:uid="{00000000-0010-0000-0800-000001000000}" name="Ciudad"/>
    <tableColumn id="2" xr3:uid="{00000000-0010-0000-0800-000002000000}" name="Capacidad instalada"/>
    <tableColumn id="3" xr3:uid="{00000000-0010-0000-0800-000003000000}" name="% del total"/>
  </tableColumns>
  <tableStyleInfo name="Capacidad instalada 2021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N3:P12">
  <tableColumns count="3">
    <tableColumn id="1" xr3:uid="{00000000-0010-0000-0900-000001000000}" name="Provincia"/>
    <tableColumn id="2" xr3:uid="{00000000-0010-0000-0900-000002000000}" name="Capacidad instalada"/>
    <tableColumn id="3" xr3:uid="{00000000-0010-0000-0900-000003000000}" name="% del total"/>
  </tableColumns>
  <tableStyleInfo name="Capacidad instalada 2021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N15:P28">
  <tableColumns count="3">
    <tableColumn id="1" xr3:uid="{00000000-0010-0000-0A00-000001000000}" name="Ciudad"/>
    <tableColumn id="2" xr3:uid="{00000000-0010-0000-0A00-000002000000}" name="Capacidad instalada"/>
    <tableColumn id="3" xr3:uid="{00000000-0010-0000-0A00-000003000000}" name="% del total"/>
  </tableColumns>
  <tableStyleInfo name="Capacidad instalada 2021-style 4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I33:K77">
  <tableColumns count="3">
    <tableColumn id="1" xr3:uid="{00000000-0010-0000-0B00-000001000000}" name="Basicos"/>
    <tableColumn id="2" xr3:uid="{00000000-0010-0000-0B00-000002000000}" name="Intermedios"/>
    <tableColumn id="3" xr3:uid="{00000000-0010-0000-0B00-000003000000}" name="Finales"/>
  </tableColumns>
  <tableStyleInfo name="Capacidad instalada 2021-style 5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C4:J15">
  <tableColumns count="8">
    <tableColumn id="1" xr3:uid="{00000000-0010-0000-0C00-000001000000}" name="Año"/>
    <tableColumn id="2" xr3:uid="{00000000-0010-0000-0C00-000002000000}" name="T basicos"/>
    <tableColumn id="3" xr3:uid="{00000000-0010-0000-0C00-000003000000}" name="% Basicos"/>
    <tableColumn id="4" xr3:uid="{00000000-0010-0000-0C00-000004000000}" name="T inter"/>
    <tableColumn id="5" xr3:uid="{00000000-0010-0000-0C00-000005000000}" name="% Intermedios"/>
    <tableColumn id="6" xr3:uid="{00000000-0010-0000-0C00-000006000000}" name="T finales"/>
    <tableColumn id="7" xr3:uid="{00000000-0010-0000-0C00-000007000000}" name="% Finales"/>
    <tableColumn id="8" xr3:uid="{00000000-0010-0000-0C00-000008000000}" name="Total"/>
  </tableColumns>
  <tableStyleInfo name="Produccion local vs nacional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L4:N14">
  <tableColumns count="3">
    <tableColumn id="1" xr3:uid="{00000000-0010-0000-0D00-000001000000}" name="Año"/>
    <tableColumn id="2" xr3:uid="{00000000-0010-0000-0D00-000002000000}" name="Produccion local"/>
    <tableColumn id="3" xr3:uid="{00000000-0010-0000-0D00-000003000000}" name="Produccion nacional"/>
  </tableColumns>
  <tableStyleInfo name="Produccion local vs nacional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C18:J32">
  <tableColumns count="8">
    <tableColumn id="1" xr3:uid="{00000000-0010-0000-0E00-000001000000}" name="Producto Petroquimico"/>
    <tableColumn id="2" xr3:uid="{00000000-0010-0000-0E00-000002000000}" name="Planta"/>
    <tableColumn id="3" xr3:uid="{00000000-0010-0000-0E00-000003000000}" name="Ciudad"/>
    <tableColumn id="4" xr3:uid="{00000000-0010-0000-0E00-000004000000}" name="Provincia"/>
    <tableColumn id="5" xr3:uid="{00000000-0010-0000-0E00-000005000000}" name="Capacidad instalada"/>
    <tableColumn id="6" xr3:uid="{00000000-0010-0000-0E00-000006000000}" name="U$S/t"/>
    <tableColumn id="7" xr3:uid="{00000000-0010-0000-0E00-000007000000}" name="Produccion local"/>
    <tableColumn id="8" xr3:uid="{00000000-0010-0000-0E00-000008000000}" name="Valoracion de la produccion"/>
  </tableColumns>
  <tableStyleInfo name="Produccion local vs nacional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97C2481-FEC8-42E4-98D3-47C914D5FAF3}" name="Tabla29" displayName="Tabla29" ref="C55:L91" totalsRowShown="0" headerRowDxfId="51" headerRowBorderDxfId="50" tableBorderDxfId="49">
  <autoFilter ref="C55:L91" xr:uid="{E97C2481-FEC8-42E4-98D3-47C914D5FAF3}">
    <filterColumn colId="1">
      <filters>
        <filter val="2024"/>
      </filters>
    </filterColumn>
  </autoFilter>
  <tableColumns count="10">
    <tableColumn id="1" xr3:uid="{E376DEA8-AA06-4EB5-9E4A-ECC3E2FF6E25}" name="Producto" dataDxfId="48"/>
    <tableColumn id="2" xr3:uid="{12139E77-E098-49D6-9042-4637E4E29A7D}" name="Año" dataDxfId="47"/>
    <tableColumn id="3" xr3:uid="{A324F0F8-056D-4FEA-810C-B41BCF843722}" name="Consumo aparente" dataDxfId="46"/>
    <tableColumn id="4" xr3:uid="{265EB28B-08C2-4DB1-9ED4-A335EB5D7778}" name="CIF" dataDxfId="45"/>
    <tableColumn id="5" xr3:uid="{88DE0392-BDA0-46AC-87AE-9F807BBEB83A}" name="FOB" dataDxfId="44"/>
    <tableColumn id="6" xr3:uid="{9A1CF164-F718-4AA9-BB76-CF30D7B9E13A}" name="VALOR CIF" dataDxfId="43">
      <calculatedColumnFormula>E56*F56</calculatedColumnFormula>
    </tableColumn>
    <tableColumn id="7" xr3:uid="{7D9441B4-F7C2-4B00-B44C-5C6465C0A285}" name="VALOR FOB" dataDxfId="42">
      <calculatedColumnFormula>E56*G56</calculatedColumnFormula>
    </tableColumn>
    <tableColumn id="8" xr3:uid="{3B472351-6F7D-4259-8AF7-3EE996983E8A}" name="Valuacion consumo aparente" dataDxfId="41"/>
    <tableColumn id="9" xr3:uid="{B94B11D1-7A8D-4022-B1A3-33B05147AC91}" name="Produccion" dataDxfId="40"/>
    <tableColumn id="10" xr3:uid="{0699C660-A818-42E0-A1CD-9389C3BFEDC6}" name="Valuacion produccion" dataDxfId="39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D3:K14" totalsRowCount="1">
  <tableColumns count="8">
    <tableColumn id="1" xr3:uid="{00000000-0010-0000-0F00-000001000000}" name="Año"/>
    <tableColumn id="2" xr3:uid="{00000000-0010-0000-0F00-000002000000}" name="T basicos"/>
    <tableColumn id="3" xr3:uid="{00000000-0010-0000-0F00-000003000000}" name="% Basicos"/>
    <tableColumn id="4" xr3:uid="{00000000-0010-0000-0F00-000004000000}" name="T inter"/>
    <tableColumn id="5" xr3:uid="{00000000-0010-0000-0F00-000005000000}" name="% Intermedios"/>
    <tableColumn id="6" xr3:uid="{00000000-0010-0000-0F00-000006000000}" name="T finales"/>
    <tableColumn id="7" xr3:uid="{00000000-0010-0000-0F00-000007000000}" name="% Finales"/>
    <tableColumn id="8" xr3:uid="{00000000-0010-0000-0F00-000008000000}" name="Total"/>
  </tableColumns>
  <tableStyleInfo name="Impo y Expo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M3:Q13">
  <tableColumns count="5">
    <tableColumn id="1" xr3:uid="{00000000-0010-0000-1000-000001000000}" name="Año"/>
    <tableColumn id="2" xr3:uid="{00000000-0010-0000-1000-000002000000}" name="T basicos"/>
    <tableColumn id="3" xr3:uid="{00000000-0010-0000-1000-000003000000}" name="T inter"/>
    <tableColumn id="4" xr3:uid="{00000000-0010-0000-1000-000004000000}" name="T finales"/>
    <tableColumn id="5" xr3:uid="{00000000-0010-0000-1000-000005000000}" name="Total"/>
  </tableColumns>
  <tableStyleInfo name="Impo y Expo-style 2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D17:K28" totalsRowCount="1">
  <tableColumns count="8">
    <tableColumn id="1" xr3:uid="{00000000-0010-0000-1100-000001000000}" name="Año"/>
    <tableColumn id="2" xr3:uid="{00000000-0010-0000-1100-000002000000}" name="T basicos"/>
    <tableColumn id="3" xr3:uid="{00000000-0010-0000-1100-000003000000}" name="% Basicos"/>
    <tableColumn id="4" xr3:uid="{00000000-0010-0000-1100-000004000000}" name="T inter"/>
    <tableColumn id="5" xr3:uid="{00000000-0010-0000-1100-000005000000}" name="% Intermedios"/>
    <tableColumn id="6" xr3:uid="{00000000-0010-0000-1100-000006000000}" name="T finales"/>
    <tableColumn id="7" xr3:uid="{00000000-0010-0000-1100-000007000000}" name="% Finales"/>
    <tableColumn id="8" xr3:uid="{00000000-0010-0000-1100-000008000000}" name="Total"/>
  </tableColumns>
  <tableStyleInfo name="Impo y Expo-style 3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M17:P27">
  <tableColumns count="4">
    <tableColumn id="1" xr3:uid="{00000000-0010-0000-1200-000001000000}" name="Año"/>
    <tableColumn id="2" xr3:uid="{00000000-0010-0000-1200-000002000000}" name="Exportaciones"/>
    <tableColumn id="3" xr3:uid="{00000000-0010-0000-1200-000003000000}" name="Importaciones"/>
    <tableColumn id="4" xr3:uid="{00000000-0010-0000-1200-000004000000}" name="Saldo comercial"/>
  </tableColumns>
  <tableStyleInfo name="Impo y Expo-style 4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D32:G43" totalsRowCount="1">
  <tableColumns count="4">
    <tableColumn id="1" xr3:uid="{00000000-0010-0000-1300-000001000000}" name="Producto"/>
    <tableColumn id="2" xr3:uid="{00000000-0010-0000-1300-000002000000}" name="Volumen exportado en t"/>
    <tableColumn id="3" xr3:uid="{00000000-0010-0000-1300-000003000000}" name="FOB"/>
    <tableColumn id="4" xr3:uid="{00000000-0010-0000-1300-000004000000}" name="Valuacion"/>
  </tableColumns>
  <tableStyleInfo name="Impo y Expo-style 5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I32:L43" totalsRowCount="1">
  <tableColumns count="4">
    <tableColumn id="1" xr3:uid="{00000000-0010-0000-1400-000001000000}" name="Producto" dataDxfId="19"/>
    <tableColumn id="2" xr3:uid="{00000000-0010-0000-1400-000002000000}" name="Volumen exportado en t" dataDxfId="18"/>
    <tableColumn id="3" xr3:uid="{00000000-0010-0000-1400-000003000000}" name="CIF"/>
    <tableColumn id="4" xr3:uid="{00000000-0010-0000-1400-000004000000}" name="Valuacion"/>
  </tableColumns>
  <tableStyleInfo name="Impo y Expo-style 6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C693BE6-1D61-4278-A799-440CB679A993}" name="Tabla28" displayName="Tabla28" ref="W30:AD522" totalsRowShown="0" headerRowDxfId="17" dataDxfId="15" headerRowBorderDxfId="16" tableBorderDxfId="14" totalsRowBorderDxfId="13">
  <autoFilter ref="W30:AD522" xr:uid="{DC693BE6-1D61-4278-A799-440CB679A993}"/>
  <tableColumns count="8">
    <tableColumn id="1" xr3:uid="{E3B30C02-1F8E-4D5A-A986-FA54E1F0B51A}" name="Producto" dataDxfId="12"/>
    <tableColumn id="2" xr3:uid="{D2FE5DB9-F81F-4C26-A486-509F900413B3}" name="AÑO" dataDxfId="11"/>
    <tableColumn id="3" xr3:uid="{61DC0241-B9E8-4016-B9A6-550E62DAE464}" name="IMPO. (t)" dataDxfId="10"/>
    <tableColumn id="4" xr3:uid="{1F8E84D1-338D-4906-8B26-F622BCF1F8A7}" name="EXPO. (t)" dataDxfId="9"/>
    <tableColumn id="5" xr3:uid="{D1196EF5-2AD0-4CF5-8639-653599724F22}" name="IMPO. (US$/t)" dataDxfId="8"/>
    <tableColumn id="6" xr3:uid="{6825DF7B-4693-424D-868B-EF458011969A}" name="EXPO. (US$/t)" dataDxfId="7"/>
    <tableColumn id="7" xr3:uid="{37652E8D-FF7D-4833-8615-60A217BC5A02}" name="Valuacion Impo" dataDxfId="6">
      <calculatedColumnFormula>Y31*AA31</calculatedColumnFormula>
    </tableColumn>
    <tableColumn id="8" xr3:uid="{71E3269A-F7A6-47E1-927C-9193D3874B9F}" name="Valuacion Expo" dataDxfId="5">
      <calculatedColumnFormula>Z31*AB31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D3:K13">
  <tableColumns count="8">
    <tableColumn id="1" xr3:uid="{00000000-0010-0000-1500-000001000000}" name="Año"/>
    <tableColumn id="2" xr3:uid="{00000000-0010-0000-1500-000002000000}" name="T basicos"/>
    <tableColumn id="3" xr3:uid="{00000000-0010-0000-1500-000003000000}" name="% Basicos"/>
    <tableColumn id="4" xr3:uid="{00000000-0010-0000-1500-000004000000}" name="T inter"/>
    <tableColumn id="5" xr3:uid="{00000000-0010-0000-1500-000005000000}" name="% Intermedios"/>
    <tableColumn id="6" xr3:uid="{00000000-0010-0000-1500-000006000000}" name="T finales"/>
    <tableColumn id="7" xr3:uid="{00000000-0010-0000-1500-000007000000}" name="% Finales"/>
    <tableColumn id="8" xr3:uid="{00000000-0010-0000-1500-000008000000}" name="Total"/>
  </tableColumns>
  <tableStyleInfo name="Consumo aparente nacional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D16:H26">
  <tableColumns count="5">
    <tableColumn id="1" xr3:uid="{00000000-0010-0000-1600-000001000000}" name="Año"/>
    <tableColumn id="2" xr3:uid="{00000000-0010-0000-1600-000002000000}" name="Basicos"/>
    <tableColumn id="3" xr3:uid="{00000000-0010-0000-1600-000003000000}" name="Intermedios"/>
    <tableColumn id="4" xr3:uid="{00000000-0010-0000-1600-000004000000}" name="Finales"/>
    <tableColumn id="5" xr3:uid="{00000000-0010-0000-1600-000005000000}" name="Total"/>
  </tableColumns>
  <tableStyleInfo name="Consumo aparente nacional-style 2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C5:H10">
  <tableColumns count="6">
    <tableColumn id="1" xr3:uid="{00000000-0010-0000-1700-000001000000}" name="Materias primas "/>
    <tableColumn id="2" xr3:uid="{00000000-0010-0000-1700-000002000000}" name="2020"/>
    <tableColumn id="3" xr3:uid="{00000000-0010-0000-1700-000003000000}" name="2021"/>
    <tableColumn id="4" xr3:uid="{00000000-0010-0000-1700-000004000000}" name="2022"/>
    <tableColumn id="5" xr3:uid="{00000000-0010-0000-1700-000005000000}" name="2023"/>
    <tableColumn id="6" xr3:uid="{00000000-0010-0000-1700-000006000000}" name="2024"/>
  </tableColumns>
  <tableStyleInfo name="Materias primas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C14:H19">
  <tableColumns count="6">
    <tableColumn id="1" xr3:uid="{00000000-0010-0000-1800-000001000000}" name="Materias primas "/>
    <tableColumn id="2" xr3:uid="{00000000-0010-0000-1800-000002000000}" name="2020"/>
    <tableColumn id="3" xr3:uid="{00000000-0010-0000-1800-000003000000}" name="2021"/>
    <tableColumn id="4" xr3:uid="{00000000-0010-0000-1800-000004000000}" name="2022"/>
    <tableColumn id="5" xr3:uid="{00000000-0010-0000-1800-000005000000}" name="2023"/>
    <tableColumn id="6" xr3:uid="{00000000-0010-0000-1800-000006000000}" name="2024"/>
  </tableColumns>
  <tableStyleInfo name="Materias primas-style 2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D3:F47">
  <tableColumns count="3">
    <tableColumn id="1" xr3:uid="{00000000-0010-0000-1900-000001000000}" name="Basicos"/>
    <tableColumn id="2" xr3:uid="{00000000-0010-0000-1900-000002000000}" name="Intermedios"/>
    <tableColumn id="3" xr3:uid="{00000000-0010-0000-1900-000003000000}" name="Finales"/>
  </tableColumns>
  <tableStyleInfo name="Clasificacion de bienes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3:G26">
  <tableColumns count="6">
    <tableColumn id="1" xr3:uid="{00000000-0010-0000-1A00-000001000000}" name="Producto Petroquimico"/>
    <tableColumn id="2" xr3:uid="{00000000-0010-0000-1A00-000002000000}" name="Planta"/>
    <tableColumn id="3" xr3:uid="{00000000-0010-0000-1A00-000003000000}" name="Ciudad"/>
    <tableColumn id="4" xr3:uid="{00000000-0010-0000-1A00-000004000000}" name="Provincia"/>
    <tableColumn id="5" xr3:uid="{00000000-0010-0000-1A00-000005000000}" name="Capacidad instalada activa"/>
    <tableColumn id="6" xr3:uid="{00000000-0010-0000-1A00-000006000000}" name="Plantas inactivas/cerradas"/>
  </tableColumns>
  <tableStyleInfo name="Capacidad instalada ind qui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2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table" Target="../tables/table17.xml"/><Relationship Id="rId1" Type="http://schemas.openxmlformats.org/officeDocument/2006/relationships/drawing" Target="../drawings/drawing3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P1000"/>
  <sheetViews>
    <sheetView workbookViewId="0">
      <selection activeCell="F31" sqref="F31"/>
    </sheetView>
  </sheetViews>
  <sheetFormatPr baseColWidth="10" defaultColWidth="14.42578125" defaultRowHeight="15" customHeight="1" x14ac:dyDescent="0.25"/>
  <cols>
    <col min="1" max="4" width="9.140625" customWidth="1"/>
    <col min="5" max="5" width="13.42578125" customWidth="1"/>
    <col min="6" max="6" width="14" customWidth="1"/>
    <col min="7" max="7" width="11.28515625" customWidth="1"/>
    <col min="8" max="8" width="18.42578125" customWidth="1"/>
    <col min="9" max="9" width="13" customWidth="1"/>
    <col min="10" max="10" width="13.85546875" customWidth="1"/>
    <col min="11" max="11" width="10" customWidth="1"/>
    <col min="12" max="26" width="9.140625" customWidth="1"/>
  </cols>
  <sheetData>
    <row r="3" spans="4:16" x14ac:dyDescent="0.25">
      <c r="D3" s="92" t="s">
        <v>0</v>
      </c>
      <c r="E3" s="93" t="s">
        <v>1</v>
      </c>
      <c r="F3" s="94" t="s">
        <v>2</v>
      </c>
      <c r="G3" s="93" t="s">
        <v>3</v>
      </c>
      <c r="H3" s="94" t="s">
        <v>4</v>
      </c>
      <c r="I3" s="93" t="s">
        <v>5</v>
      </c>
      <c r="J3" s="94" t="s">
        <v>6</v>
      </c>
      <c r="K3" s="95" t="s">
        <v>7</v>
      </c>
    </row>
    <row r="4" spans="4:16" x14ac:dyDescent="0.25">
      <c r="D4" s="96">
        <v>2015</v>
      </c>
      <c r="E4" s="97">
        <v>2435900</v>
      </c>
      <c r="F4" s="57">
        <v>42</v>
      </c>
      <c r="G4" s="97">
        <v>809000</v>
      </c>
      <c r="H4" s="57">
        <v>13.9</v>
      </c>
      <c r="I4" s="97">
        <v>2559800</v>
      </c>
      <c r="J4" s="57">
        <v>44.1</v>
      </c>
      <c r="K4" s="98">
        <v>5804700</v>
      </c>
    </row>
    <row r="5" spans="4:16" x14ac:dyDescent="0.25">
      <c r="D5" s="96">
        <v>2016</v>
      </c>
      <c r="E5" s="97">
        <v>2606500</v>
      </c>
      <c r="F5" s="57">
        <v>41.8</v>
      </c>
      <c r="G5" s="97">
        <v>819600</v>
      </c>
      <c r="H5" s="57">
        <v>13.2</v>
      </c>
      <c r="I5" s="97">
        <v>2799000</v>
      </c>
      <c r="J5" s="57">
        <v>45</v>
      </c>
      <c r="K5" s="98">
        <v>6225100</v>
      </c>
    </row>
    <row r="6" spans="4:16" x14ac:dyDescent="0.25">
      <c r="D6" s="96">
        <v>2017</v>
      </c>
      <c r="E6" s="97">
        <v>2546700</v>
      </c>
      <c r="F6" s="57">
        <v>39.9</v>
      </c>
      <c r="G6" s="97">
        <v>749100</v>
      </c>
      <c r="H6" s="57">
        <v>11.7</v>
      </c>
      <c r="I6" s="97">
        <v>3092800</v>
      </c>
      <c r="J6" s="57">
        <v>48.4</v>
      </c>
      <c r="K6" s="98">
        <v>6388600</v>
      </c>
    </row>
    <row r="7" spans="4:16" x14ac:dyDescent="0.25">
      <c r="D7" s="96">
        <v>2018</v>
      </c>
      <c r="E7" s="97">
        <v>2366500</v>
      </c>
      <c r="F7" s="57">
        <v>41.8</v>
      </c>
      <c r="G7" s="97">
        <v>692100</v>
      </c>
      <c r="H7" s="57">
        <v>12.2</v>
      </c>
      <c r="I7" s="97">
        <v>2602200</v>
      </c>
      <c r="J7" s="57">
        <v>46</v>
      </c>
      <c r="K7" s="98">
        <v>5660800</v>
      </c>
    </row>
    <row r="8" spans="4:16" x14ac:dyDescent="0.25">
      <c r="D8" s="96">
        <v>2019</v>
      </c>
      <c r="E8" s="97">
        <v>2238100</v>
      </c>
      <c r="F8" s="57">
        <v>41.7</v>
      </c>
      <c r="G8" s="97">
        <v>613200</v>
      </c>
      <c r="H8" s="57">
        <v>11.4</v>
      </c>
      <c r="I8" s="97">
        <v>2521800</v>
      </c>
      <c r="J8" s="57">
        <v>46.9</v>
      </c>
      <c r="K8" s="98">
        <v>5373100</v>
      </c>
    </row>
    <row r="9" spans="4:16" x14ac:dyDescent="0.25">
      <c r="D9" s="96">
        <v>2020</v>
      </c>
      <c r="E9" s="97">
        <v>2176600</v>
      </c>
      <c r="F9" s="57">
        <v>39.700000000000003</v>
      </c>
      <c r="G9" s="97">
        <v>588500</v>
      </c>
      <c r="H9" s="57">
        <v>10.7</v>
      </c>
      <c r="I9" s="97">
        <v>2718700</v>
      </c>
      <c r="J9" s="57">
        <v>49.6</v>
      </c>
      <c r="K9" s="98">
        <v>5483800</v>
      </c>
    </row>
    <row r="10" spans="4:16" x14ac:dyDescent="0.25">
      <c r="D10" s="96">
        <v>2021</v>
      </c>
      <c r="E10" s="97">
        <v>2161200</v>
      </c>
      <c r="F10" s="57">
        <v>40.9</v>
      </c>
      <c r="G10" s="97">
        <v>679700</v>
      </c>
      <c r="H10" s="57">
        <v>12.8</v>
      </c>
      <c r="I10" s="97">
        <v>2447200</v>
      </c>
      <c r="J10" s="57">
        <v>46.3</v>
      </c>
      <c r="K10" s="98">
        <v>5288100</v>
      </c>
    </row>
    <row r="11" spans="4:16" x14ac:dyDescent="0.25">
      <c r="D11" s="96">
        <v>2022</v>
      </c>
      <c r="E11" s="97">
        <v>2566300</v>
      </c>
      <c r="F11" s="57">
        <v>40.299999999999997</v>
      </c>
      <c r="G11" s="97">
        <v>740600</v>
      </c>
      <c r="H11" s="57">
        <v>11.6</v>
      </c>
      <c r="I11" s="97">
        <v>3060600</v>
      </c>
      <c r="J11" s="57">
        <v>48.1</v>
      </c>
      <c r="K11" s="98">
        <v>6367500</v>
      </c>
    </row>
    <row r="12" spans="4:16" x14ac:dyDescent="0.25">
      <c r="D12" s="96">
        <v>2023</v>
      </c>
      <c r="E12" s="97">
        <v>2454900</v>
      </c>
      <c r="F12" s="57">
        <v>40.299999999999997</v>
      </c>
      <c r="G12" s="97">
        <v>701100</v>
      </c>
      <c r="H12" s="57">
        <v>11.5</v>
      </c>
      <c r="I12" s="97">
        <v>2940100</v>
      </c>
      <c r="J12" s="57">
        <v>48.2</v>
      </c>
      <c r="K12" s="98">
        <v>6096100</v>
      </c>
    </row>
    <row r="13" spans="4:16" x14ac:dyDescent="0.25">
      <c r="D13" s="99">
        <v>2024</v>
      </c>
      <c r="E13" s="100">
        <v>2485000</v>
      </c>
      <c r="F13" s="101">
        <v>41.9</v>
      </c>
      <c r="G13" s="100">
        <v>642700</v>
      </c>
      <c r="H13" s="101">
        <v>10.8</v>
      </c>
      <c r="I13" s="100">
        <v>2808900</v>
      </c>
      <c r="J13" s="101">
        <v>47.3</v>
      </c>
      <c r="K13" s="102">
        <v>5936600</v>
      </c>
    </row>
    <row r="15" spans="4:16" x14ac:dyDescent="0.25">
      <c r="D15" s="115" t="s">
        <v>8</v>
      </c>
      <c r="E15" s="116"/>
      <c r="F15" s="116"/>
      <c r="G15" s="116"/>
      <c r="H15" s="116"/>
      <c r="J15" s="117" t="s">
        <v>9</v>
      </c>
      <c r="K15" s="109"/>
      <c r="L15" s="109"/>
      <c r="M15" s="109"/>
      <c r="N15" s="109"/>
      <c r="O15" s="109"/>
      <c r="P15" s="110"/>
    </row>
    <row r="16" spans="4:16" x14ac:dyDescent="0.25">
      <c r="D16" s="103" t="s">
        <v>0</v>
      </c>
      <c r="E16" s="103" t="s">
        <v>1</v>
      </c>
      <c r="F16" s="103" t="s">
        <v>3</v>
      </c>
      <c r="G16" s="103" t="s">
        <v>5</v>
      </c>
      <c r="H16" s="103" t="s">
        <v>7</v>
      </c>
    </row>
    <row r="17" spans="4:8" x14ac:dyDescent="0.25">
      <c r="D17" s="57">
        <v>2015</v>
      </c>
      <c r="E17" s="104">
        <f t="shared" ref="E17:E26" si="0">E4/1000000</f>
        <v>2.4359000000000002</v>
      </c>
      <c r="F17" s="104">
        <f t="shared" ref="F17:F26" si="1">G4/1000000</f>
        <v>0.80900000000000005</v>
      </c>
      <c r="G17" s="104">
        <f t="shared" ref="G17:G26" si="2">I4/1000000</f>
        <v>2.5598000000000001</v>
      </c>
      <c r="H17" s="104">
        <f t="shared" ref="H17:H26" si="3">K4/1000000</f>
        <v>5.8047000000000004</v>
      </c>
    </row>
    <row r="18" spans="4:8" x14ac:dyDescent="0.25">
      <c r="D18" s="57">
        <v>2016</v>
      </c>
      <c r="E18" s="104">
        <f t="shared" si="0"/>
        <v>2.6065</v>
      </c>
      <c r="F18" s="104">
        <f t="shared" si="1"/>
        <v>0.8196</v>
      </c>
      <c r="G18" s="104">
        <f t="shared" si="2"/>
        <v>2.7989999999999999</v>
      </c>
      <c r="H18" s="104">
        <f t="shared" si="3"/>
        <v>6.2251000000000003</v>
      </c>
    </row>
    <row r="19" spans="4:8" x14ac:dyDescent="0.25">
      <c r="D19" s="57">
        <v>2017</v>
      </c>
      <c r="E19" s="104">
        <f t="shared" si="0"/>
        <v>2.5467</v>
      </c>
      <c r="F19" s="104">
        <f t="shared" si="1"/>
        <v>0.74909999999999999</v>
      </c>
      <c r="G19" s="104">
        <f t="shared" si="2"/>
        <v>3.0928</v>
      </c>
      <c r="H19" s="104">
        <f t="shared" si="3"/>
        <v>6.3886000000000003</v>
      </c>
    </row>
    <row r="20" spans="4:8" x14ac:dyDescent="0.25">
      <c r="D20" s="57">
        <v>2018</v>
      </c>
      <c r="E20" s="104">
        <f t="shared" si="0"/>
        <v>2.3664999999999998</v>
      </c>
      <c r="F20" s="104">
        <f t="shared" si="1"/>
        <v>0.69210000000000005</v>
      </c>
      <c r="G20" s="104">
        <f t="shared" si="2"/>
        <v>2.6021999999999998</v>
      </c>
      <c r="H20" s="104">
        <f t="shared" si="3"/>
        <v>5.6608000000000001</v>
      </c>
    </row>
    <row r="21" spans="4:8" ht="15.75" customHeight="1" x14ac:dyDescent="0.25">
      <c r="D21" s="57">
        <v>2019</v>
      </c>
      <c r="E21" s="104">
        <f t="shared" si="0"/>
        <v>2.2381000000000002</v>
      </c>
      <c r="F21" s="104">
        <f t="shared" si="1"/>
        <v>0.61319999999999997</v>
      </c>
      <c r="G21" s="104">
        <f t="shared" si="2"/>
        <v>2.5217999999999998</v>
      </c>
      <c r="H21" s="104">
        <f t="shared" si="3"/>
        <v>5.3731</v>
      </c>
    </row>
    <row r="22" spans="4:8" ht="15.75" customHeight="1" x14ac:dyDescent="0.25">
      <c r="D22" s="57">
        <v>2020</v>
      </c>
      <c r="E22" s="104">
        <f t="shared" si="0"/>
        <v>2.1766000000000001</v>
      </c>
      <c r="F22" s="104">
        <f t="shared" si="1"/>
        <v>0.58850000000000002</v>
      </c>
      <c r="G22" s="104">
        <f t="shared" si="2"/>
        <v>2.7187000000000001</v>
      </c>
      <c r="H22" s="104">
        <f t="shared" si="3"/>
        <v>5.4837999999999996</v>
      </c>
    </row>
    <row r="23" spans="4:8" ht="15.75" customHeight="1" x14ac:dyDescent="0.25">
      <c r="D23" s="57">
        <v>2021</v>
      </c>
      <c r="E23" s="104">
        <f t="shared" si="0"/>
        <v>2.1612</v>
      </c>
      <c r="F23" s="104">
        <f t="shared" si="1"/>
        <v>0.67969999999999997</v>
      </c>
      <c r="G23" s="104">
        <f t="shared" si="2"/>
        <v>2.4472</v>
      </c>
      <c r="H23" s="104">
        <f t="shared" si="3"/>
        <v>5.2881</v>
      </c>
    </row>
    <row r="24" spans="4:8" ht="15.75" customHeight="1" x14ac:dyDescent="0.25">
      <c r="D24" s="57">
        <v>2022</v>
      </c>
      <c r="E24" s="104">
        <f t="shared" si="0"/>
        <v>2.5663</v>
      </c>
      <c r="F24" s="104">
        <f t="shared" si="1"/>
        <v>0.74060000000000004</v>
      </c>
      <c r="G24" s="104">
        <f t="shared" si="2"/>
        <v>3.0606</v>
      </c>
      <c r="H24" s="104">
        <f t="shared" si="3"/>
        <v>6.3674999999999997</v>
      </c>
    </row>
    <row r="25" spans="4:8" ht="15.75" customHeight="1" x14ac:dyDescent="0.25">
      <c r="D25" s="57">
        <v>2023</v>
      </c>
      <c r="E25" s="104">
        <f t="shared" si="0"/>
        <v>2.4548999999999999</v>
      </c>
      <c r="F25" s="104">
        <f t="shared" si="1"/>
        <v>0.70109999999999995</v>
      </c>
      <c r="G25" s="104">
        <f t="shared" si="2"/>
        <v>2.9401000000000002</v>
      </c>
      <c r="H25" s="104">
        <f t="shared" si="3"/>
        <v>6.0960999999999999</v>
      </c>
    </row>
    <row r="26" spans="4:8" ht="15.75" customHeight="1" x14ac:dyDescent="0.25">
      <c r="D26" s="57">
        <v>2024</v>
      </c>
      <c r="E26" s="104">
        <f t="shared" si="0"/>
        <v>2.4849999999999999</v>
      </c>
      <c r="F26" s="104">
        <f t="shared" si="1"/>
        <v>0.64270000000000005</v>
      </c>
      <c r="G26" s="104">
        <f t="shared" si="2"/>
        <v>2.8089</v>
      </c>
      <c r="H26" s="104">
        <f t="shared" si="3"/>
        <v>5.9366000000000003</v>
      </c>
    </row>
    <row r="27" spans="4:8" ht="15.75" customHeight="1" x14ac:dyDescent="0.25"/>
    <row r="28" spans="4:8" ht="15.75" customHeight="1" x14ac:dyDescent="0.25"/>
    <row r="29" spans="4:8" ht="15.75" customHeight="1" x14ac:dyDescent="0.25"/>
    <row r="30" spans="4:8" ht="15.75" customHeight="1" x14ac:dyDescent="0.25"/>
    <row r="31" spans="4:8" ht="15.75" customHeight="1" x14ac:dyDescent="0.25"/>
    <row r="32" spans="4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D15:H15"/>
    <mergeCell ref="J15:P15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000"/>
  <sheetViews>
    <sheetView topLeftCell="F1" workbookViewId="0">
      <selection activeCell="M8" sqref="M8"/>
    </sheetView>
  </sheetViews>
  <sheetFormatPr baseColWidth="10" defaultColWidth="14.42578125" defaultRowHeight="15" customHeight="1" x14ac:dyDescent="0.25"/>
  <cols>
    <col min="1" max="1" width="10.7109375" customWidth="1"/>
    <col min="2" max="2" width="28.42578125" customWidth="1"/>
    <col min="3" max="3" width="40.28515625" customWidth="1"/>
    <col min="4" max="4" width="24.5703125" customWidth="1"/>
    <col min="5" max="5" width="11.42578125" customWidth="1"/>
    <col min="6" max="7" width="18.42578125" customWidth="1"/>
    <col min="8" max="8" width="22.28515625" customWidth="1"/>
    <col min="9" max="9" width="26.42578125" customWidth="1"/>
    <col min="10" max="10" width="10.7109375" customWidth="1"/>
    <col min="11" max="11" width="20.28515625" customWidth="1"/>
    <col min="12" max="12" width="22" customWidth="1"/>
    <col min="13" max="13" width="42.85546875" customWidth="1"/>
    <col min="14" max="14" width="14" customWidth="1"/>
    <col min="15" max="15" width="10.7109375" customWidth="1"/>
    <col min="16" max="16" width="19.5703125" customWidth="1"/>
    <col min="17" max="17" width="22.28515625" customWidth="1"/>
    <col min="18" max="18" width="14" customWidth="1"/>
    <col min="19" max="26" width="10.7109375" customWidth="1"/>
  </cols>
  <sheetData>
    <row r="1" spans="2:18" x14ac:dyDescent="0.25">
      <c r="C1" s="2"/>
      <c r="H1" s="2"/>
      <c r="N1" s="3"/>
    </row>
    <row r="2" spans="2:18" x14ac:dyDescent="0.25">
      <c r="B2" s="105" t="s">
        <v>10</v>
      </c>
      <c r="C2" s="106"/>
      <c r="D2" s="106"/>
      <c r="E2" s="106"/>
      <c r="F2" s="106"/>
      <c r="G2" s="106"/>
      <c r="H2" s="106"/>
      <c r="I2" s="107"/>
      <c r="K2" s="105" t="s">
        <v>11</v>
      </c>
      <c r="L2" s="106"/>
      <c r="M2" s="107"/>
      <c r="N2" s="3"/>
      <c r="P2" s="105" t="s">
        <v>12</v>
      </c>
      <c r="Q2" s="106"/>
      <c r="R2" s="107"/>
    </row>
    <row r="3" spans="2:18" x14ac:dyDescent="0.25"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5" t="s">
        <v>19</v>
      </c>
      <c r="I3" s="4" t="s">
        <v>20</v>
      </c>
      <c r="K3" s="6" t="s">
        <v>15</v>
      </c>
      <c r="L3" s="7" t="s">
        <v>21</v>
      </c>
      <c r="M3" s="7" t="s">
        <v>22</v>
      </c>
      <c r="N3" s="3"/>
      <c r="P3" s="6" t="s">
        <v>16</v>
      </c>
      <c r="Q3" s="7" t="s">
        <v>21</v>
      </c>
      <c r="R3" s="7" t="s">
        <v>22</v>
      </c>
    </row>
    <row r="4" spans="2:18" x14ac:dyDescent="0.25">
      <c r="B4" s="8" t="s">
        <v>23</v>
      </c>
      <c r="C4" s="9"/>
      <c r="D4" s="10"/>
      <c r="E4" s="11"/>
      <c r="F4" s="8" t="str">
        <f>IF(COUNTIF($K$30:$K$41, B4)&gt;0, "Básico", IF(COUNTIF($L$30:$L$71, B4)&gt;0, "Intermedio", IF(COUNTIF('Capacidad instalada 2024'!$M$30:$M$73, B4)&gt;0, "Final", "No encontrado")))</f>
        <v>Final</v>
      </c>
      <c r="G4" s="8"/>
      <c r="H4" s="12"/>
      <c r="I4" s="8"/>
      <c r="K4" s="8" t="s">
        <v>24</v>
      </c>
      <c r="L4" s="12">
        <f t="shared" ref="L4:L23" si="0">SUMIF(D$4:D$151,K4,H$4:H$151)</f>
        <v>4352000</v>
      </c>
      <c r="M4" s="13">
        <f t="shared" ref="M4:M24" si="1">L4/L$24</f>
        <v>0.5628716802599143</v>
      </c>
      <c r="N4" s="3"/>
      <c r="P4" s="8" t="s">
        <v>25</v>
      </c>
      <c r="Q4" s="12">
        <f t="shared" ref="Q4:Q11" si="2">SUMIF(E$4:E$151,P4,H$4:H$151)</f>
        <v>5867500</v>
      </c>
      <c r="R4" s="13">
        <f t="shared" ref="R4:R11" si="3">Q4/Q$12</f>
        <v>0.75888087865924791</v>
      </c>
    </row>
    <row r="5" spans="2:18" x14ac:dyDescent="0.25">
      <c r="B5" s="8" t="s">
        <v>26</v>
      </c>
      <c r="C5" s="9" t="s">
        <v>27</v>
      </c>
      <c r="D5" s="10" t="s">
        <v>28</v>
      </c>
      <c r="E5" s="11" t="s">
        <v>25</v>
      </c>
      <c r="F5" s="8" t="str">
        <f>IF(COUNTIF($K$30:$K$41, B5)&gt;0, "Básico", IF(COUNTIF($L$30:$L$71, B5)&gt;0, "Intermedio", IF(COUNTIF('Capacidad instalada 2024'!$M$30:$M$73, B5)&gt;0, "Final", "No encontrado")))</f>
        <v>Intermedio</v>
      </c>
      <c r="G5" s="8"/>
      <c r="H5" s="14" t="s">
        <v>29</v>
      </c>
      <c r="I5" s="14">
        <v>9000</v>
      </c>
      <c r="K5" s="8" t="s">
        <v>28</v>
      </c>
      <c r="L5" s="12">
        <f t="shared" si="0"/>
        <v>0</v>
      </c>
      <c r="M5" s="13">
        <f t="shared" si="1"/>
        <v>0</v>
      </c>
      <c r="N5" s="3"/>
      <c r="P5" s="8" t="s">
        <v>30</v>
      </c>
      <c r="Q5" s="12">
        <f t="shared" si="2"/>
        <v>47300</v>
      </c>
      <c r="R5" s="13">
        <f t="shared" si="3"/>
        <v>6.1176081057660722E-3</v>
      </c>
    </row>
    <row r="6" spans="2:18" x14ac:dyDescent="0.25">
      <c r="B6" s="8" t="s">
        <v>31</v>
      </c>
      <c r="C6" s="9" t="s">
        <v>27</v>
      </c>
      <c r="D6" s="10" t="s">
        <v>28</v>
      </c>
      <c r="E6" s="11" t="s">
        <v>25</v>
      </c>
      <c r="F6" s="8" t="str">
        <f>IF(COUNTIF($K$30:$K$41, B6)&gt;0, "Básico", IF(COUNTIF($L$30:$L$71, B6)&gt;0, "Intermedio", IF(COUNTIF('Capacidad instalada 2024'!$M$30:$M$73, B6)&gt;0, "Final", "No encontrado")))</f>
        <v>Final</v>
      </c>
      <c r="G6" s="8"/>
      <c r="H6" s="14" t="s">
        <v>29</v>
      </c>
      <c r="I6" s="14">
        <v>6000</v>
      </c>
      <c r="K6" s="8" t="s">
        <v>32</v>
      </c>
      <c r="L6" s="12">
        <f t="shared" si="0"/>
        <v>0</v>
      </c>
      <c r="M6" s="13">
        <f t="shared" si="1"/>
        <v>0</v>
      </c>
      <c r="N6" s="3"/>
      <c r="P6" s="8" t="s">
        <v>33</v>
      </c>
      <c r="Q6" s="12">
        <f t="shared" si="2"/>
        <v>204000</v>
      </c>
      <c r="R6" s="13">
        <f t="shared" si="3"/>
        <v>2.6384610012183483E-2</v>
      </c>
    </row>
    <row r="7" spans="2:18" x14ac:dyDescent="0.25">
      <c r="B7" s="8" t="s">
        <v>34</v>
      </c>
      <c r="C7" s="9" t="s">
        <v>27</v>
      </c>
      <c r="D7" s="10" t="s">
        <v>28</v>
      </c>
      <c r="E7" s="11" t="s">
        <v>25</v>
      </c>
      <c r="F7" s="8" t="str">
        <f>IF(COUNTIF($K$30:$K$41, B7)&gt;0, "Básico", IF(COUNTIF($L$30:$L$71, B7)&gt;0, "Intermedio", IF(COUNTIF('Capacidad instalada 2024'!$M$30:$M$73, B7)&gt;0, "Final", "No encontrado")))</f>
        <v>Final</v>
      </c>
      <c r="G7" s="8"/>
      <c r="H7" s="14" t="s">
        <v>29</v>
      </c>
      <c r="I7" s="14">
        <v>28000</v>
      </c>
      <c r="K7" s="8" t="s">
        <v>35</v>
      </c>
      <c r="L7" s="12">
        <f t="shared" si="0"/>
        <v>246700</v>
      </c>
      <c r="M7" s="13">
        <f t="shared" si="1"/>
        <v>3.1907271029439535E-2</v>
      </c>
      <c r="N7" s="3"/>
      <c r="P7" s="8" t="s">
        <v>36</v>
      </c>
      <c r="Q7" s="12">
        <f t="shared" si="2"/>
        <v>30730</v>
      </c>
      <c r="R7" s="13">
        <f t="shared" si="3"/>
        <v>3.9745052238941096E-3</v>
      </c>
    </row>
    <row r="8" spans="2:18" x14ac:dyDescent="0.25">
      <c r="B8" s="8" t="s">
        <v>37</v>
      </c>
      <c r="C8" s="9"/>
      <c r="D8" s="10"/>
      <c r="E8" s="11"/>
      <c r="F8" s="8" t="str">
        <f>IF(COUNTIF($K$30:$K$41, B8)&gt;0, "Básico", IF(COUNTIF($L$30:$L$71, B8)&gt;0, "Intermedio", IF(COUNTIF('Capacidad instalada 2024'!$M$30:$M$73, B8)&gt;0, "Final", "No encontrado")))</f>
        <v>Intermedio</v>
      </c>
      <c r="G8" s="8"/>
      <c r="H8" s="12"/>
      <c r="I8" s="8"/>
      <c r="K8" s="8" t="s">
        <v>38</v>
      </c>
      <c r="L8" s="12">
        <f t="shared" si="0"/>
        <v>67850</v>
      </c>
      <c r="M8" s="13">
        <f t="shared" si="1"/>
        <v>8.7754695555227902E-3</v>
      </c>
      <c r="N8" s="3"/>
      <c r="P8" s="8" t="s">
        <v>39</v>
      </c>
      <c r="Q8" s="12">
        <f t="shared" si="2"/>
        <v>935400</v>
      </c>
      <c r="R8" s="13">
        <f t="shared" si="3"/>
        <v>0.12098119708527662</v>
      </c>
    </row>
    <row r="9" spans="2:18" x14ac:dyDescent="0.25">
      <c r="B9" s="8" t="s">
        <v>40</v>
      </c>
      <c r="C9" s="9" t="s">
        <v>41</v>
      </c>
      <c r="D9" s="10" t="s">
        <v>35</v>
      </c>
      <c r="E9" s="11" t="s">
        <v>25</v>
      </c>
      <c r="F9" s="8" t="str">
        <f>IF(COUNTIF($K$30:$K$41, B9)&gt;0, "Básico", IF(COUNTIF($L$30:$L$71, B9)&gt;0, "Intermedio", IF(COUNTIF('Capacidad instalada 2024'!$M$30:$M$73, B9)&gt;0, "Final", "No encontrado")))</f>
        <v>Intermedio</v>
      </c>
      <c r="G9" s="8"/>
      <c r="H9" s="15" t="s">
        <v>42</v>
      </c>
      <c r="I9" s="15">
        <v>18000</v>
      </c>
      <c r="K9" s="8" t="s">
        <v>43</v>
      </c>
      <c r="L9" s="12">
        <f t="shared" si="0"/>
        <v>204000</v>
      </c>
      <c r="M9" s="13">
        <f t="shared" si="1"/>
        <v>2.6384610012183483E-2</v>
      </c>
      <c r="N9" s="3"/>
      <c r="P9" s="8" t="s">
        <v>44</v>
      </c>
      <c r="Q9" s="12">
        <f t="shared" si="2"/>
        <v>67850</v>
      </c>
      <c r="R9" s="13">
        <f t="shared" si="3"/>
        <v>8.7754695555227902E-3</v>
      </c>
    </row>
    <row r="10" spans="2:18" x14ac:dyDescent="0.25">
      <c r="B10" s="8" t="s">
        <v>45</v>
      </c>
      <c r="C10" s="9" t="s">
        <v>46</v>
      </c>
      <c r="D10" s="10" t="s">
        <v>47</v>
      </c>
      <c r="E10" s="11" t="s">
        <v>30</v>
      </c>
      <c r="F10" s="8" t="str">
        <f>IF(COUNTIF($K$30:$K$41, B10)&gt;0, "Básico", IF(COUNTIF($L$30:$L$71, B10)&gt;0, "Intermedio", IF(COUNTIF('Capacidad instalada 2024'!$M$30:$M$73, B10)&gt;0, "Final", "No encontrado")))</f>
        <v>Intermedio</v>
      </c>
      <c r="G10" s="8"/>
      <c r="H10" s="14" t="s">
        <v>29</v>
      </c>
      <c r="I10" s="14">
        <v>3600</v>
      </c>
      <c r="K10" s="8" t="s">
        <v>48</v>
      </c>
      <c r="L10" s="12">
        <f t="shared" si="0"/>
        <v>991500</v>
      </c>
      <c r="M10" s="13">
        <f t="shared" si="1"/>
        <v>0.12823696483862707</v>
      </c>
      <c r="N10" s="3"/>
      <c r="P10" s="8" t="s">
        <v>49</v>
      </c>
      <c r="Q10" s="12">
        <f t="shared" si="2"/>
        <v>411000</v>
      </c>
      <c r="R10" s="13">
        <f t="shared" si="3"/>
        <v>5.3157228995134365E-2</v>
      </c>
    </row>
    <row r="11" spans="2:18" x14ac:dyDescent="0.25">
      <c r="B11" s="8" t="s">
        <v>45</v>
      </c>
      <c r="C11" s="9"/>
      <c r="D11" s="10" t="s">
        <v>28</v>
      </c>
      <c r="E11" s="11" t="s">
        <v>25</v>
      </c>
      <c r="F11" s="8" t="str">
        <f>IF(COUNTIF($K$30:$K$41, B11)&gt;0, "Básico", IF(COUNTIF($L$30:$L$71, B11)&gt;0, "Intermedio", IF(COUNTIF('Capacidad instalada 2024'!$M$30:$M$73, B11)&gt;0, "Final", "No encontrado")))</f>
        <v>Intermedio</v>
      </c>
      <c r="G11" s="8"/>
      <c r="H11" s="14" t="s">
        <v>29</v>
      </c>
      <c r="I11" s="14">
        <v>12000</v>
      </c>
      <c r="K11" s="8" t="s">
        <v>50</v>
      </c>
      <c r="L11" s="12">
        <f t="shared" si="0"/>
        <v>20000</v>
      </c>
      <c r="M11" s="13">
        <f t="shared" si="1"/>
        <v>2.5867264717826942E-3</v>
      </c>
      <c r="N11" s="3"/>
      <c r="P11" s="8" t="s">
        <v>51</v>
      </c>
      <c r="Q11" s="12">
        <f t="shared" si="2"/>
        <v>168000</v>
      </c>
      <c r="R11" s="13">
        <f t="shared" si="3"/>
        <v>2.1728502362974633E-2</v>
      </c>
    </row>
    <row r="12" spans="2:18" x14ac:dyDescent="0.25">
      <c r="B12" s="8" t="s">
        <v>52</v>
      </c>
      <c r="C12" s="9"/>
      <c r="D12" s="10"/>
      <c r="E12" s="11"/>
      <c r="F12" s="8" t="s">
        <v>53</v>
      </c>
      <c r="G12" s="8"/>
      <c r="H12" s="12"/>
      <c r="I12" s="8"/>
      <c r="K12" s="8" t="s">
        <v>54</v>
      </c>
      <c r="L12" s="12">
        <f t="shared" si="0"/>
        <v>168000</v>
      </c>
      <c r="M12" s="13">
        <f t="shared" si="1"/>
        <v>2.1728502362974633E-2</v>
      </c>
      <c r="N12" s="3"/>
      <c r="P12" s="8" t="s">
        <v>7</v>
      </c>
      <c r="Q12" s="12">
        <f t="shared" ref="Q12:R12" si="4">SUM(Q4:Q11)</f>
        <v>7731780</v>
      </c>
      <c r="R12" s="13">
        <f t="shared" si="4"/>
        <v>1</v>
      </c>
    </row>
    <row r="13" spans="2:18" x14ac:dyDescent="0.25">
      <c r="B13" s="8" t="s">
        <v>55</v>
      </c>
      <c r="C13" s="9"/>
      <c r="D13" s="10"/>
      <c r="E13" s="11"/>
      <c r="F13" s="8" t="str">
        <f>IF(COUNTIF($K$30:$K$41, B13)&gt;0, "Básico", IF(COUNTIF($L$30:$L$71, B13)&gt;0, "Intermedio", IF(COUNTIF('Capacidad instalada 2024'!$M$30:$M$73, B13)&gt;0, "Final", "No encontrado")))</f>
        <v>Intermedio</v>
      </c>
      <c r="G13" s="8"/>
      <c r="H13" s="12"/>
      <c r="I13" s="8"/>
      <c r="K13" s="8" t="s">
        <v>56</v>
      </c>
      <c r="L13" s="12">
        <f t="shared" si="0"/>
        <v>0</v>
      </c>
      <c r="M13" s="13">
        <f t="shared" si="1"/>
        <v>0</v>
      </c>
      <c r="N13" s="3"/>
    </row>
    <row r="14" spans="2:18" x14ac:dyDescent="0.25">
      <c r="B14" s="8" t="s">
        <v>57</v>
      </c>
      <c r="C14" s="9" t="s">
        <v>58</v>
      </c>
      <c r="D14" s="10" t="s">
        <v>59</v>
      </c>
      <c r="E14" s="11" t="s">
        <v>25</v>
      </c>
      <c r="F14" s="8" t="str">
        <f>IF(COUNTIF($K$30:$K$41, B14)&gt;0, "Básico", IF(COUNTIF($L$30:$L$71, B14)&gt;0, "Intermedio", IF(COUNTIF('Capacidad instalada 2024'!$M$30:$M$73, B14)&gt;0, "Final", "No encontrado")))</f>
        <v>Intermedio</v>
      </c>
      <c r="G14" s="8"/>
      <c r="H14" s="12">
        <v>2300</v>
      </c>
      <c r="I14" s="8"/>
      <c r="K14" s="8" t="s">
        <v>60</v>
      </c>
      <c r="L14" s="12">
        <f t="shared" si="0"/>
        <v>0</v>
      </c>
      <c r="M14" s="13">
        <f t="shared" si="1"/>
        <v>0</v>
      </c>
      <c r="N14" s="3"/>
      <c r="P14" s="105" t="s">
        <v>61</v>
      </c>
      <c r="Q14" s="106"/>
      <c r="R14" s="107"/>
    </row>
    <row r="15" spans="2:18" x14ac:dyDescent="0.25">
      <c r="B15" s="8" t="s">
        <v>62</v>
      </c>
      <c r="C15" s="9"/>
      <c r="D15" s="10"/>
      <c r="E15" s="11"/>
      <c r="F15" s="8" t="str">
        <f>IF(COUNTIF($K$30:$K$41, B15)&gt;0, "Básico", IF(COUNTIF($L$30:$L$71, B15)&gt;0, "Intermedio", IF(COUNTIF('Capacidad instalada 2024'!$M$30:$M$73, B15)&gt;0, "Final", "No encontrado")))</f>
        <v>No encontrado</v>
      </c>
      <c r="G15" s="8"/>
      <c r="H15" s="12"/>
      <c r="I15" s="8"/>
      <c r="K15" s="8" t="s">
        <v>63</v>
      </c>
      <c r="L15" s="12">
        <f t="shared" si="0"/>
        <v>411000</v>
      </c>
      <c r="M15" s="13">
        <f t="shared" si="1"/>
        <v>5.3157228995134365E-2</v>
      </c>
      <c r="N15" s="3"/>
      <c r="P15" s="6" t="s">
        <v>15</v>
      </c>
      <c r="Q15" s="7" t="s">
        <v>21</v>
      </c>
      <c r="R15" s="7" t="s">
        <v>22</v>
      </c>
    </row>
    <row r="16" spans="2:18" x14ac:dyDescent="0.25">
      <c r="B16" s="8" t="s">
        <v>64</v>
      </c>
      <c r="C16" s="9"/>
      <c r="D16" s="10"/>
      <c r="E16" s="11"/>
      <c r="F16" s="8" t="str">
        <f>IF(COUNTIF($K$30:$K$41, B16)&gt;0, "Básico", IF(COUNTIF($L$30:$L$71, B16)&gt;0, "Intermedio", IF(COUNTIF('Capacidad instalada 2024'!$M$30:$M$73, B16)&gt;0, "Final", "No encontrado")))</f>
        <v>No encontrado</v>
      </c>
      <c r="G16" s="8"/>
      <c r="H16" s="12"/>
      <c r="I16" s="8"/>
      <c r="K16" s="8" t="s">
        <v>65</v>
      </c>
      <c r="L16" s="12">
        <f t="shared" si="0"/>
        <v>0</v>
      </c>
      <c r="M16" s="13">
        <f t="shared" si="1"/>
        <v>0</v>
      </c>
      <c r="N16" s="3"/>
      <c r="P16" s="10" t="s">
        <v>24</v>
      </c>
      <c r="Q16" s="12">
        <f t="shared" ref="Q16:Q25" si="5">SUMIF(D$4:D$151,P16,H$4:H$151)</f>
        <v>4352000</v>
      </c>
      <c r="R16" s="13">
        <f t="shared" ref="R16:R25" si="6">Q16/Q$26</f>
        <v>0.74171282488282919</v>
      </c>
    </row>
    <row r="17" spans="2:18" x14ac:dyDescent="0.25">
      <c r="B17" s="8" t="s">
        <v>66</v>
      </c>
      <c r="C17" s="9"/>
      <c r="D17" s="10"/>
      <c r="E17" s="11"/>
      <c r="F17" s="8" t="str">
        <f>IF(COUNTIF($K$30:$K$41, B17)&gt;0, "Básico", IF(COUNTIF($L$30:$L$71, B17)&gt;0, "Intermedio", IF(COUNTIF('Capacidad instalada 2024'!$M$30:$M$73, B17)&gt;0, "Final", "No encontrado")))</f>
        <v>Intermedio</v>
      </c>
      <c r="G17" s="8"/>
      <c r="H17" s="12"/>
      <c r="I17" s="8"/>
      <c r="K17" s="8" t="s">
        <v>67</v>
      </c>
      <c r="L17" s="12">
        <f t="shared" si="0"/>
        <v>880900</v>
      </c>
      <c r="M17" s="13">
        <f t="shared" si="1"/>
        <v>0.11393236744966877</v>
      </c>
      <c r="N17" s="3"/>
      <c r="P17" s="10" t="s">
        <v>28</v>
      </c>
      <c r="Q17" s="12">
        <f t="shared" si="5"/>
        <v>0</v>
      </c>
      <c r="R17" s="13">
        <f t="shared" si="6"/>
        <v>0</v>
      </c>
    </row>
    <row r="18" spans="2:18" x14ac:dyDescent="0.25">
      <c r="B18" s="8" t="s">
        <v>68</v>
      </c>
      <c r="C18" s="9"/>
      <c r="D18" s="10"/>
      <c r="E18" s="11"/>
      <c r="F18" s="8" t="str">
        <f>IF(COUNTIF($K$30:$K$41, B18)&gt;0, "Básico", IF(COUNTIF($L$30:$L$71, B18)&gt;0, "Intermedio", IF(COUNTIF('Capacidad instalada 2024'!$M$30:$M$73, B18)&gt;0, "Final", "No encontrado")))</f>
        <v>Intermedio</v>
      </c>
      <c r="G18" s="8"/>
      <c r="H18" s="12"/>
      <c r="I18" s="8"/>
      <c r="K18" s="8" t="s">
        <v>47</v>
      </c>
      <c r="L18" s="12">
        <f t="shared" si="0"/>
        <v>47300</v>
      </c>
      <c r="M18" s="13">
        <f t="shared" si="1"/>
        <v>6.1176081057660722E-3</v>
      </c>
      <c r="N18" s="3"/>
      <c r="P18" s="10" t="s">
        <v>35</v>
      </c>
      <c r="Q18" s="12">
        <f t="shared" si="5"/>
        <v>246700</v>
      </c>
      <c r="R18" s="13">
        <f t="shared" si="6"/>
        <v>4.204516403919898E-2</v>
      </c>
    </row>
    <row r="19" spans="2:18" x14ac:dyDescent="0.25">
      <c r="B19" s="8" t="s">
        <v>69</v>
      </c>
      <c r="C19" s="9" t="s">
        <v>70</v>
      </c>
      <c r="D19" s="10" t="s">
        <v>43</v>
      </c>
      <c r="E19" s="11" t="s">
        <v>33</v>
      </c>
      <c r="F19" s="8" t="str">
        <f>IF(COUNTIF($K$30:$K$41, B19)&gt;0, "Básico", IF(COUNTIF($L$30:$L$71, B19)&gt;0, "Intermedio", IF(COUNTIF('Capacidad instalada 2024'!$M$30:$M$73, B19)&gt;0, "Final", "No encontrado")))</f>
        <v>Intermedio</v>
      </c>
      <c r="G19" s="8"/>
      <c r="H19" s="12">
        <v>60000</v>
      </c>
      <c r="I19" s="8"/>
      <c r="K19" s="8" t="s">
        <v>71</v>
      </c>
      <c r="L19" s="12">
        <f t="shared" si="0"/>
        <v>34500</v>
      </c>
      <c r="M19" s="13">
        <f t="shared" si="1"/>
        <v>4.4621031638251473E-3</v>
      </c>
      <c r="N19" s="3"/>
      <c r="P19" s="10" t="s">
        <v>48</v>
      </c>
      <c r="Q19" s="12">
        <f t="shared" si="5"/>
        <v>991500</v>
      </c>
      <c r="R19" s="13">
        <f t="shared" si="6"/>
        <v>0.16898167873881551</v>
      </c>
    </row>
    <row r="20" spans="2:18" x14ac:dyDescent="0.25">
      <c r="B20" s="8" t="s">
        <v>69</v>
      </c>
      <c r="C20" s="9" t="s">
        <v>72</v>
      </c>
      <c r="D20" s="10" t="s">
        <v>47</v>
      </c>
      <c r="E20" s="11" t="s">
        <v>30</v>
      </c>
      <c r="F20" s="8" t="str">
        <f>IF(COUNTIF($K$30:$K$41, B20)&gt;0, "Básico", IF(COUNTIF($L$30:$L$71, B20)&gt;0, "Intermedio", IF(COUNTIF('Capacidad instalada 2024'!$M$30:$M$73, B20)&gt;0, "Final", "No encontrado")))</f>
        <v>Intermedio</v>
      </c>
      <c r="G20" s="8"/>
      <c r="H20" s="12">
        <v>39000</v>
      </c>
      <c r="I20" s="8"/>
      <c r="K20" s="8" t="s">
        <v>36</v>
      </c>
      <c r="L20" s="12">
        <f t="shared" si="0"/>
        <v>20000</v>
      </c>
      <c r="M20" s="13">
        <f t="shared" si="1"/>
        <v>2.5867264717826942E-3</v>
      </c>
      <c r="N20" s="3"/>
      <c r="P20" s="10" t="s">
        <v>56</v>
      </c>
      <c r="Q20" s="12">
        <f t="shared" si="5"/>
        <v>0</v>
      </c>
      <c r="R20" s="13">
        <f t="shared" si="6"/>
        <v>0</v>
      </c>
    </row>
    <row r="21" spans="2:18" ht="15.75" customHeight="1" x14ac:dyDescent="0.25">
      <c r="B21" s="8" t="s">
        <v>69</v>
      </c>
      <c r="C21" s="9" t="s">
        <v>73</v>
      </c>
      <c r="D21" s="10" t="s">
        <v>74</v>
      </c>
      <c r="E21" s="11" t="s">
        <v>36</v>
      </c>
      <c r="F21" s="8" t="str">
        <f>IF(COUNTIF($K$30:$K$41, B21)&gt;0, "Básico", IF(COUNTIF($L$30:$L$71, B21)&gt;0, "Intermedio", IF(COUNTIF('Capacidad instalada 2024'!$M$30:$M$73, B21)&gt;0, "Final", "No encontrado")))</f>
        <v>Intermedio</v>
      </c>
      <c r="G21" s="8"/>
      <c r="H21" s="12">
        <v>10730</v>
      </c>
      <c r="I21" s="8"/>
      <c r="K21" s="8" t="s">
        <v>59</v>
      </c>
      <c r="L21" s="12">
        <f t="shared" si="0"/>
        <v>2300</v>
      </c>
      <c r="M21" s="13">
        <f t="shared" si="1"/>
        <v>2.9747354425500985E-4</v>
      </c>
      <c r="N21" s="3"/>
      <c r="P21" s="10" t="s">
        <v>59</v>
      </c>
      <c r="Q21" s="12">
        <f t="shared" si="5"/>
        <v>2300</v>
      </c>
      <c r="R21" s="13">
        <f t="shared" si="6"/>
        <v>3.9198977417980401E-4</v>
      </c>
    </row>
    <row r="22" spans="2:18" ht="15.75" customHeight="1" x14ac:dyDescent="0.25">
      <c r="B22" s="8" t="s">
        <v>75</v>
      </c>
      <c r="C22" s="9"/>
      <c r="D22" s="10"/>
      <c r="E22" s="11"/>
      <c r="F22" s="8" t="str">
        <f>IF(COUNTIF($K$30:$K$41, B22)&gt;0, "Básico", IF(COUNTIF($L$30:$L$71, B22)&gt;0, "Intermedio", IF(COUNTIF('Capacidad instalada 2024'!$M$30:$M$73, B22)&gt;0, "Final", "No encontrado")))</f>
        <v>No encontrado</v>
      </c>
      <c r="G22" s="8"/>
      <c r="H22" s="12"/>
      <c r="I22" s="8"/>
      <c r="K22" s="8" t="s">
        <v>74</v>
      </c>
      <c r="L22" s="12">
        <f t="shared" si="0"/>
        <v>10730</v>
      </c>
      <c r="M22" s="13">
        <f t="shared" si="1"/>
        <v>1.3877787521114156E-3</v>
      </c>
      <c r="N22" s="3"/>
      <c r="P22" s="10" t="s">
        <v>32</v>
      </c>
      <c r="Q22" s="12">
        <f t="shared" si="5"/>
        <v>0</v>
      </c>
      <c r="R22" s="13">
        <f t="shared" si="6"/>
        <v>0</v>
      </c>
    </row>
    <row r="23" spans="2:18" ht="15.75" customHeight="1" x14ac:dyDescent="0.25">
      <c r="B23" s="8" t="s">
        <v>76</v>
      </c>
      <c r="C23" s="9"/>
      <c r="D23" s="10"/>
      <c r="E23" s="11"/>
      <c r="F23" s="8" t="str">
        <f>IF(COUNTIF($K$30:$K$41, B23)&gt;0, "Básico", IF(COUNTIF($L$30:$L$71, B23)&gt;0, "Intermedio", IF(COUNTIF('Capacidad instalada 2024'!$M$30:$M$73, B23)&gt;0, "Final", "No encontrado")))</f>
        <v>Intermedio</v>
      </c>
      <c r="G23" s="8"/>
      <c r="H23" s="12"/>
      <c r="I23" s="8"/>
      <c r="K23" s="8" t="s">
        <v>77</v>
      </c>
      <c r="L23" s="12">
        <f t="shared" si="0"/>
        <v>275000</v>
      </c>
      <c r="M23" s="13">
        <f t="shared" si="1"/>
        <v>3.556748898701205E-2</v>
      </c>
      <c r="N23" s="3"/>
      <c r="P23" s="10" t="s">
        <v>65</v>
      </c>
      <c r="Q23" s="12">
        <f t="shared" si="5"/>
        <v>0</v>
      </c>
      <c r="R23" s="13">
        <f t="shared" si="6"/>
        <v>0</v>
      </c>
    </row>
    <row r="24" spans="2:18" ht="15.75" customHeight="1" x14ac:dyDescent="0.25">
      <c r="B24" s="8" t="s">
        <v>78</v>
      </c>
      <c r="C24" s="9"/>
      <c r="D24" s="10"/>
      <c r="E24" s="11"/>
      <c r="F24" s="8" t="str">
        <f>IF(COUNTIF($K$30:$K$41, B24)&gt;0, "Básico", IF(COUNTIF($L$30:$L$71, B24)&gt;0, "Intermedio", IF(COUNTIF('Capacidad instalada 2024'!$M$30:$M$73, B24)&gt;0, "Final", "No encontrado")))</f>
        <v>Intermedio</v>
      </c>
      <c r="G24" s="8"/>
      <c r="H24" s="12"/>
      <c r="I24" s="8"/>
      <c r="K24" s="8" t="s">
        <v>7</v>
      </c>
      <c r="L24" s="12">
        <f>SUM(L3:L23)</f>
        <v>7731780</v>
      </c>
      <c r="M24" s="13">
        <f t="shared" si="1"/>
        <v>1</v>
      </c>
      <c r="N24" s="3"/>
      <c r="P24" s="10" t="s">
        <v>60</v>
      </c>
      <c r="Q24" s="12">
        <f t="shared" si="5"/>
        <v>0</v>
      </c>
      <c r="R24" s="13">
        <f t="shared" si="6"/>
        <v>0</v>
      </c>
    </row>
    <row r="25" spans="2:18" ht="15.75" customHeight="1" x14ac:dyDescent="0.25">
      <c r="B25" s="8" t="s">
        <v>79</v>
      </c>
      <c r="C25" s="9"/>
      <c r="D25" s="10"/>
      <c r="E25" s="11"/>
      <c r="F25" s="8" t="str">
        <f>IF(COUNTIF($K$30:$K$41, B25)&gt;0, "Básico", IF(COUNTIF($L$30:$L$71, B25)&gt;0, "Intermedio", IF(COUNTIF('Capacidad instalada 2024'!$M$30:$M$73, B25)&gt;0, "Final", "No encontrado")))</f>
        <v>Intermedio</v>
      </c>
      <c r="G25" s="8"/>
      <c r="H25" s="12"/>
      <c r="I25" s="8"/>
      <c r="N25" s="3"/>
      <c r="P25" s="10" t="s">
        <v>77</v>
      </c>
      <c r="Q25" s="12">
        <f t="shared" si="5"/>
        <v>275000</v>
      </c>
      <c r="R25" s="13">
        <f t="shared" si="6"/>
        <v>4.6868342564976566E-2</v>
      </c>
    </row>
    <row r="26" spans="2:18" ht="15.75" customHeight="1" x14ac:dyDescent="0.25">
      <c r="B26" s="8" t="s">
        <v>80</v>
      </c>
      <c r="C26" s="9" t="s">
        <v>81</v>
      </c>
      <c r="D26" s="10" t="s">
        <v>48</v>
      </c>
      <c r="E26" s="11" t="s">
        <v>25</v>
      </c>
      <c r="F26" s="8" t="str">
        <f>IF(COUNTIF($K$30:$K$41, B26)&gt;0, "Básico", IF(COUNTIF($L$30:$L$71, B26)&gt;0, "Intermedio", IF(COUNTIF('Capacidad instalada 2024'!$M$30:$M$73, B26)&gt;0, "Final", "No encontrado")))</f>
        <v>Intermedio</v>
      </c>
      <c r="G26" s="8"/>
      <c r="H26" s="14" t="s">
        <v>29</v>
      </c>
      <c r="I26" s="14">
        <v>35000</v>
      </c>
      <c r="P26" s="8" t="s">
        <v>7</v>
      </c>
      <c r="Q26" s="12">
        <f t="shared" ref="Q26:R26" si="7">SUM(Q16:Q25)</f>
        <v>5867500</v>
      </c>
      <c r="R26" s="13">
        <f t="shared" si="7"/>
        <v>1</v>
      </c>
    </row>
    <row r="27" spans="2:18" ht="15.75" customHeight="1" x14ac:dyDescent="0.25">
      <c r="B27" s="8" t="s">
        <v>82</v>
      </c>
      <c r="C27" s="9"/>
      <c r="D27" s="10"/>
      <c r="E27" s="11"/>
      <c r="F27" s="8" t="str">
        <f>IF(COUNTIF($K$30:$K$41, B27)&gt;0, "Básico", IF(COUNTIF($L$30:$L$71, B27)&gt;0, "Intermedio", IF(COUNTIF('Capacidad instalada 2024'!$M$30:$M$73, B27)&gt;0, "Final", "No encontrado")))</f>
        <v>No encontrado</v>
      </c>
      <c r="G27" s="8"/>
      <c r="H27" s="12"/>
      <c r="I27" s="8"/>
    </row>
    <row r="28" spans="2:18" ht="15.75" customHeight="1" x14ac:dyDescent="0.25">
      <c r="B28" s="8" t="s">
        <v>83</v>
      </c>
      <c r="C28" s="9" t="s">
        <v>81</v>
      </c>
      <c r="D28" s="10" t="s">
        <v>48</v>
      </c>
      <c r="E28" s="11" t="s">
        <v>25</v>
      </c>
      <c r="F28" s="8" t="str">
        <f>IF(COUNTIF($K$30:$K$41, B28)&gt;0, "Básico", IF(COUNTIF($L$30:$L$71, B28)&gt;0, "Intermedio", IF(COUNTIF('Capacidad instalada 2024'!$M$30:$M$73, B28)&gt;0, "Final", "No encontrado")))</f>
        <v>Intermedio</v>
      </c>
      <c r="G28" s="8"/>
      <c r="H28" s="12">
        <v>52000</v>
      </c>
      <c r="I28" s="8"/>
      <c r="K28" s="105" t="s">
        <v>84</v>
      </c>
      <c r="L28" s="106"/>
      <c r="M28" s="107"/>
    </row>
    <row r="29" spans="2:18" ht="15.75" customHeight="1" x14ac:dyDescent="0.25">
      <c r="B29" s="8" t="s">
        <v>85</v>
      </c>
      <c r="C29" s="9" t="s">
        <v>70</v>
      </c>
      <c r="D29" s="10" t="s">
        <v>43</v>
      </c>
      <c r="E29" s="11" t="s">
        <v>33</v>
      </c>
      <c r="F29" s="8" t="str">
        <f>IF(COUNTIF($K$30:$K$41, B29)&gt;0, "Básico", IF(COUNTIF($L$30:$L$71, B29)&gt;0, "Intermedio", IF(COUNTIF('Capacidad instalada 2024'!$M$30:$M$73, B29)&gt;0, "Final", "No encontrado")))</f>
        <v>Básico</v>
      </c>
      <c r="G29" s="8"/>
      <c r="H29" s="12">
        <v>60000</v>
      </c>
      <c r="I29" s="8"/>
      <c r="K29" s="16" t="s">
        <v>1</v>
      </c>
      <c r="L29" s="16" t="s">
        <v>3</v>
      </c>
      <c r="M29" s="16" t="s">
        <v>5</v>
      </c>
    </row>
    <row r="30" spans="2:18" ht="15.75" customHeight="1" x14ac:dyDescent="0.25">
      <c r="B30" s="8" t="s">
        <v>85</v>
      </c>
      <c r="C30" s="9" t="s">
        <v>86</v>
      </c>
      <c r="D30" s="10" t="s">
        <v>35</v>
      </c>
      <c r="E30" s="11" t="s">
        <v>25</v>
      </c>
      <c r="F30" s="8" t="str">
        <f>IF(COUNTIF($K$30:$K$41, B30)&gt;0, "Básico", IF(COUNTIF($L$30:$L$71, B30)&gt;0, "Intermedio", IF(COUNTIF('Capacidad instalada 2024'!$M$30:$M$73, B30)&gt;0, "Final", "No encontrado")))</f>
        <v>Básico</v>
      </c>
      <c r="G30" s="8"/>
      <c r="H30" s="12">
        <v>29700</v>
      </c>
      <c r="I30" s="8"/>
      <c r="K30" s="17" t="s">
        <v>87</v>
      </c>
      <c r="L30" s="17" t="s">
        <v>88</v>
      </c>
      <c r="M30" s="17" t="s">
        <v>23</v>
      </c>
      <c r="N30" s="18" t="str">
        <f>SUBSTITUTE(SUBSTITUTE(SUBSTITUTE(SUBSTITUTE(SUBSTITUTE(A1,"á","a"),"é","e"),"í","i"),"ó","o"),"ú","u")</f>
        <v/>
      </c>
    </row>
    <row r="31" spans="2:18" ht="15.75" customHeight="1" x14ac:dyDescent="0.25">
      <c r="B31" s="8" t="s">
        <v>85</v>
      </c>
      <c r="C31" s="9" t="s">
        <v>89</v>
      </c>
      <c r="D31" s="10" t="s">
        <v>24</v>
      </c>
      <c r="E31" s="11" t="s">
        <v>25</v>
      </c>
      <c r="F31" s="8" t="str">
        <f>IF(COUNTIF($K$30:$K$41, B31)&gt;0, "Básico", IF(COUNTIF($L$30:$L$71, B31)&gt;0, "Intermedio", IF(COUNTIF('Capacidad instalada 2024'!$M$30:$M$73, B31)&gt;0, "Final", "No encontrado")))</f>
        <v>Básico</v>
      </c>
      <c r="G31" s="8"/>
      <c r="H31" s="12">
        <v>790000</v>
      </c>
      <c r="I31" s="8"/>
      <c r="K31" s="17" t="s">
        <v>90</v>
      </c>
      <c r="L31" s="17" t="s">
        <v>91</v>
      </c>
      <c r="M31" s="17" t="s">
        <v>92</v>
      </c>
    </row>
    <row r="32" spans="2:18" ht="15.75" customHeight="1" x14ac:dyDescent="0.25">
      <c r="B32" s="8" t="s">
        <v>93</v>
      </c>
      <c r="C32" s="9" t="s">
        <v>27</v>
      </c>
      <c r="D32" s="10" t="s">
        <v>28</v>
      </c>
      <c r="E32" s="11" t="s">
        <v>25</v>
      </c>
      <c r="F32" s="8" t="str">
        <f>IF(COUNTIF($K$30:$K$41, B32)&gt;0, "Básico", IF(COUNTIF($L$30:$L$71, B32)&gt;0, "Intermedio", IF(COUNTIF('Capacidad instalada 2024'!$M$30:$M$73, B32)&gt;0, "Final", "No encontrado")))</f>
        <v>No encontrado</v>
      </c>
      <c r="G32" s="8"/>
      <c r="H32" s="14" t="s">
        <v>29</v>
      </c>
      <c r="I32" s="14">
        <v>2500</v>
      </c>
      <c r="K32" s="17" t="s">
        <v>94</v>
      </c>
      <c r="L32" s="17" t="s">
        <v>95</v>
      </c>
      <c r="M32" s="17" t="s">
        <v>96</v>
      </c>
    </row>
    <row r="33" spans="2:13" ht="15.75" customHeight="1" x14ac:dyDescent="0.25">
      <c r="B33" s="8" t="s">
        <v>97</v>
      </c>
      <c r="C33" s="9" t="s">
        <v>98</v>
      </c>
      <c r="D33" s="10" t="s">
        <v>71</v>
      </c>
      <c r="E33" s="11" t="s">
        <v>39</v>
      </c>
      <c r="F33" s="8" t="str">
        <f>IF(COUNTIF($K$30:$K$41, B33)&gt;0, "Básico", IF(COUNTIF($L$30:$L$71, B33)&gt;0, "Intermedio", IF(COUNTIF('Capacidad instalada 2024'!$M$30:$M$73, B33)&gt;0, "Final", "No encontrado")))</f>
        <v>Intermedio</v>
      </c>
      <c r="G33" s="8"/>
      <c r="H33" s="12">
        <v>17500</v>
      </c>
      <c r="I33" s="8"/>
      <c r="K33" s="17" t="s">
        <v>99</v>
      </c>
      <c r="L33" s="17" t="s">
        <v>45</v>
      </c>
      <c r="M33" s="17" t="s">
        <v>100</v>
      </c>
    </row>
    <row r="34" spans="2:13" ht="15.75" customHeight="1" x14ac:dyDescent="0.25">
      <c r="B34" s="8" t="s">
        <v>101</v>
      </c>
      <c r="C34" s="9" t="s">
        <v>81</v>
      </c>
      <c r="D34" s="10" t="s">
        <v>48</v>
      </c>
      <c r="E34" s="11" t="s">
        <v>25</v>
      </c>
      <c r="F34" s="8" t="str">
        <f>IF(COUNTIF($K$30:$K$41, B34)&gt;0, "Básico", IF(COUNTIF($L$30:$L$71, B34)&gt;0, "Intermedio", IF(COUNTIF('Capacidad instalada 2024'!$M$30:$M$73, B34)&gt;0, "Final", "No encontrado")))</f>
        <v>Intermedio</v>
      </c>
      <c r="G34" s="8"/>
      <c r="H34" s="12">
        <v>17500</v>
      </c>
      <c r="I34" s="8"/>
      <c r="K34" s="17" t="s">
        <v>102</v>
      </c>
      <c r="L34" s="17" t="s">
        <v>103</v>
      </c>
      <c r="M34" s="17" t="s">
        <v>104</v>
      </c>
    </row>
    <row r="35" spans="2:13" ht="15.75" customHeight="1" x14ac:dyDescent="0.25">
      <c r="B35" s="8" t="s">
        <v>105</v>
      </c>
      <c r="C35" s="9" t="s">
        <v>106</v>
      </c>
      <c r="D35" s="10" t="s">
        <v>67</v>
      </c>
      <c r="E35" s="11" t="s">
        <v>39</v>
      </c>
      <c r="F35" s="8" t="str">
        <f>IF(COUNTIF($K$30:$K$41, B35)&gt;0, "Básico", IF(COUNTIF($L$30:$L$71, B35)&gt;0, "Intermedio", IF(COUNTIF('Capacidad instalada 2024'!$M$30:$M$73, B35)&gt;0, "Final", "No encontrado")))</f>
        <v>Básico</v>
      </c>
      <c r="G35" s="8"/>
      <c r="H35" s="12"/>
      <c r="I35" s="8"/>
      <c r="K35" s="17" t="s">
        <v>107</v>
      </c>
      <c r="L35" s="17" t="s">
        <v>108</v>
      </c>
      <c r="M35" s="17" t="s">
        <v>109</v>
      </c>
    </row>
    <row r="36" spans="2:13" ht="15.75" customHeight="1" x14ac:dyDescent="0.25">
      <c r="B36" s="8" t="s">
        <v>105</v>
      </c>
      <c r="C36" s="9" t="s">
        <v>81</v>
      </c>
      <c r="D36" s="10" t="s">
        <v>48</v>
      </c>
      <c r="E36" s="11" t="s">
        <v>25</v>
      </c>
      <c r="F36" s="8" t="str">
        <f>IF(COUNTIF($K$30:$K$41, B36)&gt;0, "Básico", IF(COUNTIF($L$30:$L$71, B36)&gt;0, "Intermedio", IF(COUNTIF('Capacidad instalada 2024'!$M$30:$M$73, B36)&gt;0, "Final", "No encontrado")))</f>
        <v>Básico</v>
      </c>
      <c r="G36" s="8"/>
      <c r="H36" s="12"/>
      <c r="I36" s="8"/>
      <c r="K36" s="17" t="s">
        <v>110</v>
      </c>
      <c r="L36" s="17" t="s">
        <v>111</v>
      </c>
      <c r="M36" s="17" t="s">
        <v>112</v>
      </c>
    </row>
    <row r="37" spans="2:13" ht="15.75" customHeight="1" x14ac:dyDescent="0.25">
      <c r="B37" s="8" t="s">
        <v>113</v>
      </c>
      <c r="C37" s="9"/>
      <c r="D37" s="10"/>
      <c r="E37" s="11"/>
      <c r="F37" s="8" t="str">
        <f>IF(COUNTIF($K$30:$K$41, B37)&gt;0, "Básico", IF(COUNTIF($L$30:$L$71, B37)&gt;0, "Intermedio", IF(COUNTIF('Capacidad instalada 2024'!$M$30:$M$73, B37)&gt;0, "Final", "No encontrado")))</f>
        <v>Intermedio</v>
      </c>
      <c r="G37" s="8"/>
      <c r="H37" s="12"/>
      <c r="I37" s="8"/>
      <c r="K37" s="17" t="s">
        <v>114</v>
      </c>
      <c r="L37" s="17" t="s">
        <v>115</v>
      </c>
      <c r="M37" s="17" t="s">
        <v>116</v>
      </c>
    </row>
    <row r="38" spans="2:13" ht="15.75" customHeight="1" x14ac:dyDescent="0.25">
      <c r="B38" s="8" t="s">
        <v>117</v>
      </c>
      <c r="C38" s="9"/>
      <c r="D38" s="10"/>
      <c r="E38" s="11"/>
      <c r="F38" s="8" t="str">
        <f>IF(COUNTIF($K$30:$K$41, B38)&gt;0, "Básico", IF(COUNTIF($L$30:$L$71, B38)&gt;0, "Intermedio", IF(COUNTIF('Capacidad instalada 2024'!$M$30:$M$73, B38)&gt;0, "Final", "No encontrado")))</f>
        <v>Básico</v>
      </c>
      <c r="G38" s="8"/>
      <c r="H38" s="12"/>
      <c r="I38" s="8"/>
      <c r="K38" s="17" t="s">
        <v>118</v>
      </c>
      <c r="L38" s="17" t="s">
        <v>119</v>
      </c>
      <c r="M38" s="17" t="s">
        <v>120</v>
      </c>
    </row>
    <row r="39" spans="2:13" ht="15.75" customHeight="1" x14ac:dyDescent="0.25">
      <c r="B39" s="8" t="s">
        <v>121</v>
      </c>
      <c r="C39" s="9"/>
      <c r="D39" s="10"/>
      <c r="E39" s="11"/>
      <c r="F39" s="8" t="str">
        <f>IF(COUNTIF($K$30:$K$41, B39)&gt;0, "Básico", IF(COUNTIF($L$30:$L$71, B39)&gt;0, "Intermedio", IF(COUNTIF('Capacidad instalada 2024'!$M$30:$M$73, B39)&gt;0, "Final", "No encontrado")))</f>
        <v>Intermedio</v>
      </c>
      <c r="G39" s="8"/>
      <c r="H39" s="12"/>
      <c r="I39" s="8"/>
      <c r="K39" s="17" t="s">
        <v>122</v>
      </c>
      <c r="L39" s="17" t="s">
        <v>123</v>
      </c>
      <c r="M39" s="17" t="s">
        <v>124</v>
      </c>
    </row>
    <row r="40" spans="2:13" ht="15.75" customHeight="1" x14ac:dyDescent="0.25">
      <c r="B40" s="8" t="s">
        <v>125</v>
      </c>
      <c r="C40" s="9"/>
      <c r="D40" s="10"/>
      <c r="E40" s="11"/>
      <c r="F40" s="8" t="str">
        <f>IF(COUNTIF($K$30:$K$41, B40)&gt;0, "Básico", IF(COUNTIF($L$30:$L$71, B40)&gt;0, "Intermedio", IF(COUNTIF('Capacidad instalada 2024'!$M$30:$M$73, B40)&gt;0, "Final", "No encontrado")))</f>
        <v>Intermedio</v>
      </c>
      <c r="G40" s="8"/>
      <c r="H40" s="12"/>
      <c r="I40" s="8"/>
      <c r="K40" s="17" t="s">
        <v>126</v>
      </c>
      <c r="L40" s="17" t="s">
        <v>127</v>
      </c>
      <c r="M40" s="17" t="s">
        <v>128</v>
      </c>
    </row>
    <row r="41" spans="2:13" ht="15.75" customHeight="1" x14ac:dyDescent="0.25">
      <c r="B41" s="8" t="s">
        <v>129</v>
      </c>
      <c r="C41" s="9" t="s">
        <v>41</v>
      </c>
      <c r="D41" s="10" t="s">
        <v>35</v>
      </c>
      <c r="E41" s="11" t="s">
        <v>25</v>
      </c>
      <c r="F41" s="8" t="str">
        <f>IF(COUNTIF($K$30:$K$41, B41)&gt;0, "Básico", IF(COUNTIF($L$30:$L$71, B41)&gt;0, "Intermedio", IF(COUNTIF('Capacidad instalada 2024'!$M$30:$M$73, B41)&gt;0, "Final", "No encontrado")))</f>
        <v>Intermedio</v>
      </c>
      <c r="G41" s="8"/>
      <c r="H41" s="15" t="s">
        <v>42</v>
      </c>
      <c r="I41" s="15">
        <v>13000</v>
      </c>
      <c r="K41" s="17" t="s">
        <v>130</v>
      </c>
      <c r="L41" s="17" t="s">
        <v>131</v>
      </c>
      <c r="M41" s="17" t="s">
        <v>132</v>
      </c>
    </row>
    <row r="42" spans="2:13" ht="15.75" customHeight="1" x14ac:dyDescent="0.25">
      <c r="B42" s="8" t="s">
        <v>133</v>
      </c>
      <c r="C42" s="9" t="s">
        <v>81</v>
      </c>
      <c r="D42" s="10" t="s">
        <v>48</v>
      </c>
      <c r="E42" s="11" t="s">
        <v>25</v>
      </c>
      <c r="F42" s="8" t="str">
        <f>IF(COUNTIF($K$30:$K$41, B42)&gt;0, "Básico", IF(COUNTIF($L$30:$L$71, B42)&gt;0, "Intermedio", IF(COUNTIF('Capacidad instalada 2024'!$M$30:$M$73, B42)&gt;0, "Final", "No encontrado")))</f>
        <v>Básico</v>
      </c>
      <c r="G42" s="8"/>
      <c r="H42" s="15" t="s">
        <v>42</v>
      </c>
      <c r="I42" s="15">
        <v>25000</v>
      </c>
      <c r="K42" s="17"/>
      <c r="L42" s="17" t="s">
        <v>80</v>
      </c>
      <c r="M42" s="17" t="s">
        <v>134</v>
      </c>
    </row>
    <row r="43" spans="2:13" ht="15.75" customHeight="1" x14ac:dyDescent="0.25">
      <c r="B43" s="8" t="s">
        <v>135</v>
      </c>
      <c r="C43" s="9"/>
      <c r="D43" s="10"/>
      <c r="E43" s="11"/>
      <c r="F43" s="8" t="str">
        <f>IF(COUNTIF($K$30:$K$41, B43)&gt;0, "Básico", IF(COUNTIF($L$30:$L$71, B43)&gt;0, "Intermedio", IF(COUNTIF('Capacidad instalada 2024'!$M$30:$M$73, B43)&gt;0, "Final", "No encontrado")))</f>
        <v>Intermedio</v>
      </c>
      <c r="G43" s="8"/>
      <c r="H43" s="12"/>
      <c r="I43" s="8"/>
      <c r="K43" s="17"/>
      <c r="L43" s="17" t="s">
        <v>136</v>
      </c>
      <c r="M43" s="17" t="s">
        <v>137</v>
      </c>
    </row>
    <row r="44" spans="2:13" ht="15.75" customHeight="1" x14ac:dyDescent="0.25">
      <c r="B44" s="8" t="s">
        <v>138</v>
      </c>
      <c r="C44" s="9"/>
      <c r="D44" s="10"/>
      <c r="E44" s="11"/>
      <c r="F44" s="8" t="str">
        <f>IF(COUNTIF($K$30:$K$41, B44)&gt;0, "Básico", IF(COUNTIF($L$30:$L$71, B44)&gt;0, "Intermedio", IF(COUNTIF('Capacidad instalada 2024'!$M$30:$M$73, B44)&gt;0, "Final", "No encontrado")))</f>
        <v>Intermedio</v>
      </c>
      <c r="G44" s="8"/>
      <c r="H44" s="12"/>
      <c r="I44" s="8"/>
      <c r="K44" s="17"/>
      <c r="L44" s="17" t="s">
        <v>97</v>
      </c>
      <c r="M44" s="17" t="s">
        <v>139</v>
      </c>
    </row>
    <row r="45" spans="2:13" ht="15.75" customHeight="1" x14ac:dyDescent="0.25">
      <c r="B45" s="8" t="s">
        <v>100</v>
      </c>
      <c r="C45" s="9" t="s">
        <v>106</v>
      </c>
      <c r="D45" s="10" t="s">
        <v>67</v>
      </c>
      <c r="E45" s="11" t="s">
        <v>39</v>
      </c>
      <c r="F45" s="8" t="str">
        <f>IF(COUNTIF($K$30:$K$41, B45)&gt;0, "Básico", IF(COUNTIF($L$30:$L$71, B45)&gt;0, "Intermedio", IF(COUNTIF('Capacidad instalada 2024'!$M$30:$M$73, B45)&gt;0, "Final", "No encontrado")))</f>
        <v>Final</v>
      </c>
      <c r="G45" s="8"/>
      <c r="H45" s="12">
        <v>2000</v>
      </c>
      <c r="I45" s="8"/>
      <c r="K45" s="17"/>
      <c r="L45" s="17" t="s">
        <v>101</v>
      </c>
      <c r="M45" s="17" t="s">
        <v>140</v>
      </c>
    </row>
    <row r="46" spans="2:13" ht="15.75" customHeight="1" x14ac:dyDescent="0.25">
      <c r="B46" s="8" t="s">
        <v>141</v>
      </c>
      <c r="C46" s="9"/>
      <c r="D46" s="10"/>
      <c r="E46" s="11"/>
      <c r="F46" s="8" t="str">
        <f>IF(COUNTIF($K$30:$K$41, B46)&gt;0, "Básico", IF(COUNTIF($L$30:$L$71, B46)&gt;0, "Intermedio", IF(COUNTIF('Capacidad instalada 2024'!$M$30:$M$73, B46)&gt;0, "Final", "No encontrado")))</f>
        <v>Final</v>
      </c>
      <c r="G46" s="8"/>
      <c r="H46" s="12"/>
      <c r="I46" s="8"/>
      <c r="K46" s="17"/>
      <c r="L46" s="17" t="s">
        <v>142</v>
      </c>
      <c r="M46" s="17" t="s">
        <v>143</v>
      </c>
    </row>
    <row r="47" spans="2:13" ht="15.75" customHeight="1" x14ac:dyDescent="0.25">
      <c r="B47" s="8" t="s">
        <v>100</v>
      </c>
      <c r="C47" s="9" t="s">
        <v>106</v>
      </c>
      <c r="D47" s="10" t="s">
        <v>67</v>
      </c>
      <c r="E47" s="11" t="s">
        <v>39</v>
      </c>
      <c r="F47" s="8" t="str">
        <f>IF(COUNTIF($K$30:$K$41, B47)&gt;0, "Básico", IF(COUNTIF($L$30:$L$71, B47)&gt;0, "Intermedio", IF(COUNTIF('Capacidad instalada 2024'!$M$30:$M$73, B47)&gt;0, "Final", "No encontrado")))</f>
        <v>Final</v>
      </c>
      <c r="G47" s="8"/>
      <c r="H47" s="12">
        <v>53000</v>
      </c>
      <c r="I47" s="8"/>
      <c r="K47" s="17"/>
      <c r="L47" s="17" t="s">
        <v>144</v>
      </c>
      <c r="M47" s="17" t="s">
        <v>145</v>
      </c>
    </row>
    <row r="48" spans="2:13" ht="15.75" customHeight="1" x14ac:dyDescent="0.25">
      <c r="B48" s="8" t="s">
        <v>146</v>
      </c>
      <c r="C48" s="9"/>
      <c r="D48" s="10"/>
      <c r="E48" s="11"/>
      <c r="F48" s="8" t="str">
        <f>IF(COUNTIF($K$30:$K$41, B48)&gt;0, "Básico", IF(COUNTIF($L$30:$L$71, B48)&gt;0, "Intermedio", IF(COUNTIF('Capacidad instalada 2024'!$M$30:$M$73, B48)&gt;0, "Final", "No encontrado")))</f>
        <v>Final</v>
      </c>
      <c r="G48" s="8"/>
      <c r="H48" s="12"/>
      <c r="I48" s="8"/>
      <c r="K48" s="17"/>
      <c r="L48" s="17" t="s">
        <v>147</v>
      </c>
      <c r="M48" s="17" t="s">
        <v>148</v>
      </c>
    </row>
    <row r="49" spans="2:13" ht="15.75" customHeight="1" x14ac:dyDescent="0.25">
      <c r="B49" s="8" t="s">
        <v>149</v>
      </c>
      <c r="C49" s="9"/>
      <c r="D49" s="10"/>
      <c r="E49" s="11"/>
      <c r="F49" s="8" t="str">
        <f>IF(COUNTIF($K$30:$K$41, B49)&gt;0, "Básico", IF(COUNTIF($L$30:$L$71, B49)&gt;0, "Intermedio", IF(COUNTIF('Capacidad instalada 2024'!$M$30:$M$73, B49)&gt;0, "Final", "No encontrado")))</f>
        <v>Final</v>
      </c>
      <c r="G49" s="8"/>
      <c r="H49" s="12"/>
      <c r="I49" s="8"/>
      <c r="K49" s="17"/>
      <c r="L49" s="17" t="s">
        <v>150</v>
      </c>
      <c r="M49" s="17" t="s">
        <v>151</v>
      </c>
    </row>
    <row r="50" spans="2:13" ht="15.75" customHeight="1" x14ac:dyDescent="0.25">
      <c r="B50" s="8" t="s">
        <v>152</v>
      </c>
      <c r="C50" s="9"/>
      <c r="D50" s="10"/>
      <c r="E50" s="11"/>
      <c r="F50" s="8" t="str">
        <f>IF(COUNTIF($K$30:$K$41, B50)&gt;0, "Básico", IF(COUNTIF($L$30:$L$71, B50)&gt;0, "Intermedio", IF(COUNTIF('Capacidad instalada 2024'!$M$30:$M$73, B50)&gt;0, "Final", "No encontrado")))</f>
        <v>Final</v>
      </c>
      <c r="G50" s="8"/>
      <c r="H50" s="12"/>
      <c r="I50" s="8"/>
      <c r="K50" s="17"/>
      <c r="L50" s="17" t="s">
        <v>153</v>
      </c>
      <c r="M50" s="17" t="s">
        <v>154</v>
      </c>
    </row>
    <row r="51" spans="2:13" ht="15.75" customHeight="1" x14ac:dyDescent="0.25">
      <c r="B51" s="8" t="s">
        <v>155</v>
      </c>
      <c r="C51" s="9"/>
      <c r="D51" s="10"/>
      <c r="E51" s="11"/>
      <c r="F51" s="8" t="str">
        <f>IF(COUNTIF($K$30:$K$41, B51)&gt;0, "Básico", IF(COUNTIF($L$30:$L$71, B51)&gt;0, "Intermedio", IF(COUNTIF('Capacidad instalada 2024'!$M$30:$M$73, B51)&gt;0, "Final", "No encontrado")))</f>
        <v>Final</v>
      </c>
      <c r="G51" s="8"/>
      <c r="H51" s="12"/>
      <c r="I51" s="8"/>
      <c r="K51" s="17"/>
      <c r="L51" s="17" t="s">
        <v>156</v>
      </c>
      <c r="M51" s="17" t="s">
        <v>157</v>
      </c>
    </row>
    <row r="52" spans="2:13" ht="15.75" customHeight="1" x14ac:dyDescent="0.25">
      <c r="B52" s="8" t="s">
        <v>158</v>
      </c>
      <c r="C52" s="9"/>
      <c r="D52" s="10"/>
      <c r="E52" s="11"/>
      <c r="F52" s="8" t="str">
        <f>IF(COUNTIF($K$30:$K$41, B52)&gt;0, "Básico", IF(COUNTIF($L$30:$L$71, B52)&gt;0, "Intermedio", IF(COUNTIF('Capacidad instalada 2024'!$M$30:$M$73, B52)&gt;0, "Final", "No encontrado")))</f>
        <v>No encontrado</v>
      </c>
      <c r="G52" s="8"/>
      <c r="H52" s="12"/>
      <c r="I52" s="8"/>
      <c r="K52" s="17"/>
      <c r="L52" s="17" t="s">
        <v>159</v>
      </c>
      <c r="M52" s="17" t="s">
        <v>160</v>
      </c>
    </row>
    <row r="53" spans="2:13" ht="15.75" customHeight="1" x14ac:dyDescent="0.25">
      <c r="B53" s="8" t="s">
        <v>161</v>
      </c>
      <c r="C53" s="9" t="s">
        <v>81</v>
      </c>
      <c r="D53" s="10" t="s">
        <v>48</v>
      </c>
      <c r="E53" s="11" t="s">
        <v>25</v>
      </c>
      <c r="F53" s="8" t="str">
        <f>IF(COUNTIF($K$30:$K$41, B53)&gt;0, "Básico", IF(COUNTIF($L$30:$L$71, B53)&gt;0, "Intermedio", IF(COUNTIF('Capacidad instalada 2024'!$M$30:$M$73, B53)&gt;0, "Final", "No encontrado")))</f>
        <v>Intermedio</v>
      </c>
      <c r="G53" s="8"/>
      <c r="H53" s="12">
        <v>95000</v>
      </c>
      <c r="I53" s="8"/>
      <c r="K53" s="17"/>
      <c r="L53" s="17" t="s">
        <v>162</v>
      </c>
      <c r="M53" s="17" t="s">
        <v>163</v>
      </c>
    </row>
    <row r="54" spans="2:13" ht="15.75" customHeight="1" x14ac:dyDescent="0.25">
      <c r="B54" s="8" t="s">
        <v>159</v>
      </c>
      <c r="C54" s="9"/>
      <c r="D54" s="10"/>
      <c r="E54" s="11"/>
      <c r="F54" s="8" t="str">
        <f>IF(COUNTIF($K$30:$K$41, B54)&gt;0, "Básico", IF(COUNTIF($L$30:$L$71, B54)&gt;0, "Intermedio", IF(COUNTIF('Capacidad instalada 2024'!$M$30:$M$73, B54)&gt;0, "Final", "No encontrado")))</f>
        <v>Intermedio</v>
      </c>
      <c r="G54" s="8"/>
      <c r="H54" s="12"/>
      <c r="I54" s="8"/>
      <c r="K54" s="17"/>
      <c r="L54" s="17" t="s">
        <v>164</v>
      </c>
      <c r="M54" s="17" t="s">
        <v>165</v>
      </c>
    </row>
    <row r="55" spans="2:13" ht="15.75" customHeight="1" x14ac:dyDescent="0.25">
      <c r="B55" s="8" t="s">
        <v>166</v>
      </c>
      <c r="C55" s="9"/>
      <c r="D55" s="10"/>
      <c r="E55" s="11"/>
      <c r="F55" s="8" t="str">
        <f>IF(COUNTIF($K$30:$K$41, B55)&gt;0, "Básico", IF(COUNTIF($L$30:$L$71, B55)&gt;0, "Intermedio", IF(COUNTIF('Capacidad instalada 2024'!$M$30:$M$73, B55)&gt;0, "Final", "No encontrado")))</f>
        <v>Intermedio</v>
      </c>
      <c r="G55" s="8"/>
      <c r="H55" s="12"/>
      <c r="I55" s="8"/>
      <c r="K55" s="17"/>
      <c r="L55" s="17" t="s">
        <v>167</v>
      </c>
      <c r="M55" s="17" t="s">
        <v>168</v>
      </c>
    </row>
    <row r="56" spans="2:13" ht="15.75" customHeight="1" x14ac:dyDescent="0.25">
      <c r="B56" s="8" t="s">
        <v>169</v>
      </c>
      <c r="C56" s="9"/>
      <c r="D56" s="10"/>
      <c r="E56" s="11"/>
      <c r="F56" s="8" t="str">
        <f>IF(COUNTIF($K$30:$K$41, B56)&gt;0, "Básico", IF(COUNTIF($L$30:$L$71, B56)&gt;0, "Intermedio", IF(COUNTIF('Capacidad instalada 2024'!$M$30:$M$73, B56)&gt;0, "Final", "No encontrado")))</f>
        <v>Final</v>
      </c>
      <c r="G56" s="8"/>
      <c r="H56" s="12"/>
      <c r="I56" s="8"/>
      <c r="K56" s="17"/>
      <c r="L56" s="17" t="s">
        <v>170</v>
      </c>
      <c r="M56" s="17" t="s">
        <v>171</v>
      </c>
    </row>
    <row r="57" spans="2:13" ht="15.75" customHeight="1" x14ac:dyDescent="0.25">
      <c r="B57" s="8" t="s">
        <v>172</v>
      </c>
      <c r="C57" s="9"/>
      <c r="D57" s="10"/>
      <c r="E57" s="11"/>
      <c r="F57" s="8" t="str">
        <f>IF(COUNTIF($K$30:$K$41, B57)&gt;0, "Básico", IF(COUNTIF($L$30:$L$71, B57)&gt;0, "Intermedio", IF(COUNTIF('Capacidad instalada 2024'!$M$30:$M$73, B57)&gt;0, "Final", "No encontrado")))</f>
        <v>Final</v>
      </c>
      <c r="G57" s="8"/>
      <c r="H57" s="12"/>
      <c r="I57" s="8"/>
      <c r="K57" s="17"/>
      <c r="L57" s="17" t="s">
        <v>173</v>
      </c>
      <c r="M57" s="17" t="s">
        <v>174</v>
      </c>
    </row>
    <row r="58" spans="2:13" ht="15.75" customHeight="1" x14ac:dyDescent="0.25">
      <c r="B58" s="8" t="s">
        <v>175</v>
      </c>
      <c r="C58" s="9" t="s">
        <v>176</v>
      </c>
      <c r="D58" s="10" t="s">
        <v>24</v>
      </c>
      <c r="E58" s="11" t="s">
        <v>25</v>
      </c>
      <c r="F58" s="8" t="str">
        <f>IF(COUNTIF($K$30:$K$41, B58)&gt;0, "Básico", IF(COUNTIF($L$30:$L$71, B58)&gt;0, "Intermedio", IF(COUNTIF('Capacidad instalada 2024'!$M$30:$M$73, B58)&gt;0, "Final", "No encontrado")))</f>
        <v>Intermedio</v>
      </c>
      <c r="G58" s="8"/>
      <c r="H58" s="12">
        <v>231000</v>
      </c>
      <c r="I58" s="8"/>
      <c r="K58" s="17"/>
      <c r="L58" s="17" t="s">
        <v>177</v>
      </c>
      <c r="M58" s="17" t="s">
        <v>178</v>
      </c>
    </row>
    <row r="59" spans="2:13" ht="15.75" customHeight="1" x14ac:dyDescent="0.25">
      <c r="B59" s="8" t="s">
        <v>179</v>
      </c>
      <c r="C59" s="9" t="s">
        <v>27</v>
      </c>
      <c r="D59" s="10" t="s">
        <v>56</v>
      </c>
      <c r="E59" s="11" t="s">
        <v>25</v>
      </c>
      <c r="F59" s="8" t="str">
        <f>IF(COUNTIF($K$30:$K$41, B59)&gt;0, "Básico", IF(COUNTIF($L$30:$L$71, B59)&gt;0, "Intermedio", IF(COUNTIF('Capacidad instalada 2024'!$M$30:$M$73, B59)&gt;0, "Final", "No encontrado")))</f>
        <v>Final</v>
      </c>
      <c r="G59" s="8"/>
      <c r="H59" s="14" t="s">
        <v>29</v>
      </c>
      <c r="I59" s="14">
        <v>6600</v>
      </c>
      <c r="K59" s="17"/>
      <c r="L59" s="17" t="s">
        <v>180</v>
      </c>
      <c r="M59" s="17" t="s">
        <v>181</v>
      </c>
    </row>
    <row r="60" spans="2:13" ht="15.75" customHeight="1" x14ac:dyDescent="0.25">
      <c r="B60" s="8" t="s">
        <v>179</v>
      </c>
      <c r="C60" s="9" t="s">
        <v>182</v>
      </c>
      <c r="D60" s="10" t="s">
        <v>38</v>
      </c>
      <c r="E60" s="11" t="s">
        <v>44</v>
      </c>
      <c r="F60" s="8" t="str">
        <f>IF(COUNTIF($K$30:$K$41, B60)&gt;0, "Básico", IF(COUNTIF($L$30:$L$71, B60)&gt;0, "Intermedio", IF(COUNTIF('Capacidad instalada 2024'!$M$30:$M$73, B60)&gt;0, "Final", "No encontrado")))</f>
        <v>Final</v>
      </c>
      <c r="G60" s="8"/>
      <c r="H60" s="12">
        <v>27600</v>
      </c>
      <c r="I60" s="8"/>
      <c r="K60" s="17"/>
      <c r="L60" s="17" t="s">
        <v>183</v>
      </c>
      <c r="M60" s="17" t="s">
        <v>184</v>
      </c>
    </row>
    <row r="61" spans="2:13" ht="15.75" customHeight="1" x14ac:dyDescent="0.25">
      <c r="B61" s="8" t="s">
        <v>134</v>
      </c>
      <c r="C61" s="9" t="s">
        <v>185</v>
      </c>
      <c r="D61" s="10" t="s">
        <v>67</v>
      </c>
      <c r="E61" s="11" t="s">
        <v>39</v>
      </c>
      <c r="F61" s="8" t="str">
        <f>IF(COUNTIF($K$30:$K$41, B61)&gt;0, "Básico", IF(COUNTIF($L$30:$L$71, B61)&gt;0, "Intermedio", IF(COUNTIF('Capacidad instalada 2024'!$M$30:$M$73, B61)&gt;0, "Final", "No encontrado")))</f>
        <v>Final</v>
      </c>
      <c r="G61" s="8"/>
      <c r="H61" s="12">
        <v>31000</v>
      </c>
      <c r="I61" s="8"/>
      <c r="K61" s="17"/>
      <c r="L61" s="17" t="s">
        <v>186</v>
      </c>
      <c r="M61" s="17" t="s">
        <v>187</v>
      </c>
    </row>
    <row r="62" spans="2:13" ht="15.75" customHeight="1" x14ac:dyDescent="0.25">
      <c r="B62" s="8" t="s">
        <v>134</v>
      </c>
      <c r="C62" s="9" t="s">
        <v>185</v>
      </c>
      <c r="D62" s="10" t="s">
        <v>67</v>
      </c>
      <c r="E62" s="11" t="s">
        <v>39</v>
      </c>
      <c r="F62" s="8" t="str">
        <f>IF(COUNTIF($K$30:$K$41, B62)&gt;0, "Básico", IF(COUNTIF($L$30:$L$71, B62)&gt;0, "Intermedio", IF(COUNTIF('Capacidad instalada 2024'!$M$30:$M$73, B62)&gt;0, "Final", "No encontrado")))</f>
        <v>Final</v>
      </c>
      <c r="G62" s="8"/>
      <c r="H62" s="12">
        <v>30000</v>
      </c>
      <c r="I62" s="8"/>
      <c r="K62" s="17"/>
      <c r="L62" s="17" t="s">
        <v>188</v>
      </c>
      <c r="M62" s="17" t="s">
        <v>189</v>
      </c>
    </row>
    <row r="63" spans="2:13" ht="15.75" customHeight="1" x14ac:dyDescent="0.25">
      <c r="B63" s="8" t="s">
        <v>190</v>
      </c>
      <c r="C63" s="9"/>
      <c r="D63" s="10"/>
      <c r="E63" s="11"/>
      <c r="F63" s="8" t="str">
        <f>IF(COUNTIF($K$30:$K$41, B63)&gt;0, "Básico", IF(COUNTIF($L$30:$L$71, B63)&gt;0, "Intermedio", IF(COUNTIF('Capacidad instalada 2024'!$M$30:$M$73, B63)&gt;0, "Final", "No encontrado")))</f>
        <v>Final</v>
      </c>
      <c r="G63" s="8"/>
      <c r="H63" s="12"/>
      <c r="I63" s="8"/>
      <c r="K63" s="17"/>
      <c r="L63" s="17" t="s">
        <v>191</v>
      </c>
      <c r="M63" s="17" t="s">
        <v>192</v>
      </c>
    </row>
    <row r="64" spans="2:13" ht="15.75" customHeight="1" x14ac:dyDescent="0.25">
      <c r="B64" s="8" t="s">
        <v>193</v>
      </c>
      <c r="C64" s="9" t="s">
        <v>176</v>
      </c>
      <c r="D64" s="10" t="s">
        <v>24</v>
      </c>
      <c r="E64" s="11" t="s">
        <v>25</v>
      </c>
      <c r="F64" s="8" t="str">
        <f>IF(COUNTIF($K$30:$K$41, B64)&gt;0, "Básico", IF(COUNTIF($L$30:$L$71, B64)&gt;0, "Intermedio", IF(COUNTIF('Capacidad instalada 2024'!$M$30:$M$73, B64)&gt;0, "Final", "No encontrado")))</f>
        <v>Intermedio</v>
      </c>
      <c r="G64" s="8"/>
      <c r="H64" s="12">
        <v>266000</v>
      </c>
      <c r="I64" s="8"/>
      <c r="K64" s="17"/>
      <c r="L64" s="17" t="s">
        <v>194</v>
      </c>
      <c r="M64" s="17" t="s">
        <v>195</v>
      </c>
    </row>
    <row r="65" spans="2:13" ht="15.75" customHeight="1" x14ac:dyDescent="0.25">
      <c r="B65" s="8" t="s">
        <v>196</v>
      </c>
      <c r="C65" s="9"/>
      <c r="D65" s="10"/>
      <c r="E65" s="11"/>
      <c r="F65" s="8" t="str">
        <f>IF(COUNTIF($K$30:$K$41, B65)&gt;0, "Básico", IF(COUNTIF($L$30:$L$71, B65)&gt;0, "Intermedio", IF(COUNTIF('Capacidad instalada 2024'!$M$30:$M$73, B65)&gt;0, "Final", "No encontrado")))</f>
        <v>Final</v>
      </c>
      <c r="G65" s="8"/>
      <c r="H65" s="12"/>
      <c r="I65" s="8"/>
      <c r="K65" s="17"/>
      <c r="L65" s="17" t="s">
        <v>197</v>
      </c>
      <c r="M65" s="17" t="s">
        <v>198</v>
      </c>
    </row>
    <row r="66" spans="2:13" ht="15.75" customHeight="1" x14ac:dyDescent="0.25">
      <c r="B66" s="8" t="s">
        <v>199</v>
      </c>
      <c r="C66" s="9"/>
      <c r="D66" s="10"/>
      <c r="E66" s="11"/>
      <c r="F66" s="8" t="str">
        <f>IF(COUNTIF($K$30:$K$41, B66)&gt;0, "Básico", IF(COUNTIF($L$30:$L$71, B66)&gt;0, "Intermedio", IF(COUNTIF('Capacidad instalada 2024'!$M$30:$M$73, B66)&gt;0, "Final", "No encontrado")))</f>
        <v>Final</v>
      </c>
      <c r="G66" s="8"/>
      <c r="H66" s="12"/>
      <c r="I66" s="8"/>
      <c r="K66" s="17"/>
      <c r="L66" s="17" t="s">
        <v>200</v>
      </c>
      <c r="M66" s="17" t="s">
        <v>201</v>
      </c>
    </row>
    <row r="67" spans="2:13" ht="15.75" customHeight="1" x14ac:dyDescent="0.25">
      <c r="B67" s="8" t="s">
        <v>202</v>
      </c>
      <c r="C67" s="9"/>
      <c r="D67" s="10"/>
      <c r="E67" s="11"/>
      <c r="F67" s="8" t="str">
        <f>IF(COUNTIF($K$30:$K$41, B67)&gt;0, "Básico", IF(COUNTIF($L$30:$L$71, B67)&gt;0, "Intermedio", IF(COUNTIF('Capacidad instalada 2024'!$M$30:$M$73, B67)&gt;0, "Final", "No encontrado")))</f>
        <v>Final</v>
      </c>
      <c r="G67" s="8"/>
      <c r="H67" s="12"/>
      <c r="I67" s="8"/>
      <c r="K67" s="17"/>
      <c r="L67" s="17" t="s">
        <v>203</v>
      </c>
      <c r="M67" s="17" t="s">
        <v>204</v>
      </c>
    </row>
    <row r="68" spans="2:13" ht="15.75" customHeight="1" x14ac:dyDescent="0.25">
      <c r="B68" s="8" t="s">
        <v>205</v>
      </c>
      <c r="C68" s="9"/>
      <c r="D68" s="10"/>
      <c r="E68" s="11"/>
      <c r="F68" s="8" t="str">
        <f>IF(COUNTIF($K$30:$K$41, B68)&gt;0, "Básico", IF(COUNTIF($L$30:$L$71, B68)&gt;0, "Intermedio", IF(COUNTIF('Capacidad instalada 2024'!$M$30:$M$73, B68)&gt;0, "Final", "No encontrado")))</f>
        <v>No encontrado</v>
      </c>
      <c r="G68" s="8"/>
      <c r="H68" s="12"/>
      <c r="I68" s="8"/>
      <c r="K68" s="17"/>
      <c r="L68" s="17" t="s">
        <v>206</v>
      </c>
      <c r="M68" s="17" t="s">
        <v>207</v>
      </c>
    </row>
    <row r="69" spans="2:13" ht="15.75" customHeight="1" x14ac:dyDescent="0.25">
      <c r="B69" s="8" t="s">
        <v>208</v>
      </c>
      <c r="C69" s="9"/>
      <c r="D69" s="10"/>
      <c r="E69" s="11"/>
      <c r="F69" s="8" t="str">
        <f>IF(COUNTIF($K$30:$K$41, B69)&gt;0, "Básico", IF(COUNTIF($L$30:$L$71, B69)&gt;0, "Intermedio", IF(COUNTIF('Capacidad instalada 2024'!$M$30:$M$73, B69)&gt;0, "Final", "No encontrado")))</f>
        <v>Intermedio</v>
      </c>
      <c r="G69" s="8"/>
      <c r="H69" s="12"/>
      <c r="I69" s="8"/>
      <c r="K69" s="17"/>
      <c r="L69" s="17" t="s">
        <v>209</v>
      </c>
      <c r="M69" s="17" t="s">
        <v>210</v>
      </c>
    </row>
    <row r="70" spans="2:13" ht="15.75" customHeight="1" x14ac:dyDescent="0.25">
      <c r="B70" s="8" t="s">
        <v>211</v>
      </c>
      <c r="C70" s="9" t="s">
        <v>106</v>
      </c>
      <c r="D70" s="10" t="s">
        <v>67</v>
      </c>
      <c r="E70" s="11" t="s">
        <v>39</v>
      </c>
      <c r="F70" s="8" t="str">
        <f>IF(COUNTIF($K$30:$K$41, B70)&gt;0, "Básico", IF(COUNTIF($L$30:$L$71, B70)&gt;0, "Intermedio", IF(COUNTIF('Capacidad instalada 2024'!$M$30:$M$73, B70)&gt;0, "Final", "No encontrado")))</f>
        <v>Intermedio</v>
      </c>
      <c r="G70" s="8"/>
      <c r="H70" s="12">
        <v>160000</v>
      </c>
      <c r="I70" s="8"/>
      <c r="K70" s="17"/>
      <c r="L70" s="17" t="s">
        <v>212</v>
      </c>
      <c r="M70" s="17" t="s">
        <v>213</v>
      </c>
    </row>
    <row r="71" spans="2:13" ht="15.75" customHeight="1" x14ac:dyDescent="0.25">
      <c r="B71" s="8" t="s">
        <v>214</v>
      </c>
      <c r="C71" s="9"/>
      <c r="D71" s="10"/>
      <c r="E71" s="11"/>
      <c r="F71" s="8" t="str">
        <f>IF(COUNTIF($K$30:$K$41, B71)&gt;0, "Básico", IF(COUNTIF($L$30:$L$71, B71)&gt;0, "Intermedio", IF(COUNTIF('Capacidad instalada 2024'!$M$30:$M$73, B71)&gt;0, "Final", "No encontrado")))</f>
        <v>Intermedio</v>
      </c>
      <c r="G71" s="8"/>
      <c r="H71" s="12"/>
      <c r="I71" s="8"/>
      <c r="K71" s="17"/>
      <c r="L71" s="17" t="s">
        <v>215</v>
      </c>
      <c r="M71" s="17" t="s">
        <v>216</v>
      </c>
    </row>
    <row r="72" spans="2:13" ht="15.75" customHeight="1" x14ac:dyDescent="0.25">
      <c r="B72" s="8" t="s">
        <v>217</v>
      </c>
      <c r="C72" s="9" t="s">
        <v>218</v>
      </c>
      <c r="D72" s="10" t="s">
        <v>67</v>
      </c>
      <c r="E72" s="11" t="s">
        <v>39</v>
      </c>
      <c r="F72" s="8" t="str">
        <f>IF(COUNTIF($K$30:$K$41, B72)&gt;0, "Básico", IF(COUNTIF($L$30:$L$71, B72)&gt;0, "Intermedio", IF(COUNTIF('Capacidad instalada 2024'!$M$30:$M$73, B72)&gt;0, "Final", "No encontrado")))</f>
        <v>Final</v>
      </c>
      <c r="G72" s="8"/>
      <c r="H72" s="12">
        <v>6900</v>
      </c>
      <c r="I72" s="8"/>
      <c r="K72" s="17"/>
      <c r="L72" s="17"/>
      <c r="M72" s="17" t="s">
        <v>219</v>
      </c>
    </row>
    <row r="73" spans="2:13" ht="15.75" customHeight="1" x14ac:dyDescent="0.25">
      <c r="B73" s="8" t="s">
        <v>220</v>
      </c>
      <c r="C73" s="9" t="s">
        <v>106</v>
      </c>
      <c r="D73" s="10" t="s">
        <v>67</v>
      </c>
      <c r="E73" s="11" t="s">
        <v>39</v>
      </c>
      <c r="F73" s="8" t="str">
        <f>IF(COUNTIF($K$30:$K$41, B73)&gt;0, "Básico", IF(COUNTIF($L$30:$L$71, B73)&gt;0, "Intermedio", IF(COUNTIF('Capacidad instalada 2024'!$M$30:$M$73, B73)&gt;0, "Final", "No encontrado")))</f>
        <v>Intermedio</v>
      </c>
      <c r="G73" s="8"/>
      <c r="H73" s="12">
        <v>180000</v>
      </c>
      <c r="I73" s="8"/>
      <c r="K73" s="17"/>
      <c r="L73" s="17"/>
      <c r="M73" s="17" t="s">
        <v>221</v>
      </c>
    </row>
    <row r="74" spans="2:13" ht="15.75" customHeight="1" x14ac:dyDescent="0.25">
      <c r="B74" s="8" t="s">
        <v>222</v>
      </c>
      <c r="C74" s="9"/>
      <c r="D74" s="10"/>
      <c r="E74" s="11"/>
      <c r="F74" s="8" t="str">
        <f>IF(COUNTIF($K$30:$K$41, B74)&gt;0, "Básico", IF(COUNTIF($L$30:$L$71, B74)&gt;0, "Intermedio", IF(COUNTIF('Capacidad instalada 2024'!$M$30:$M$73, B74)&gt;0, "Final", "No encontrado")))</f>
        <v>Intermedio</v>
      </c>
      <c r="G74" s="8"/>
      <c r="H74" s="12"/>
      <c r="I74" s="8"/>
    </row>
    <row r="75" spans="2:13" ht="15.75" customHeight="1" x14ac:dyDescent="0.25">
      <c r="B75" s="8" t="s">
        <v>223</v>
      </c>
      <c r="C75" s="9" t="s">
        <v>106</v>
      </c>
      <c r="D75" s="10" t="s">
        <v>67</v>
      </c>
      <c r="E75" s="11" t="s">
        <v>39</v>
      </c>
      <c r="F75" s="8" t="str">
        <f>IF(COUNTIF($K$30:$K$41, B75)&gt;0, "Básico", IF(COUNTIF($L$30:$L$71, B75)&gt;0, "Intermedio", IF(COUNTIF('Capacidad instalada 2024'!$M$30:$M$73, B75)&gt;0, "Final", "No encontrado")))</f>
        <v>Básico</v>
      </c>
      <c r="G75" s="8"/>
      <c r="H75" s="12">
        <v>31000</v>
      </c>
      <c r="I75" s="8"/>
    </row>
    <row r="76" spans="2:13" ht="15.75" customHeight="1" x14ac:dyDescent="0.25">
      <c r="B76" s="8" t="s">
        <v>223</v>
      </c>
      <c r="C76" s="9" t="s">
        <v>218</v>
      </c>
      <c r="D76" s="10" t="s">
        <v>24</v>
      </c>
      <c r="E76" s="11" t="s">
        <v>25</v>
      </c>
      <c r="F76" s="8" t="str">
        <f>IF(COUNTIF($K$30:$K$41, B76)&gt;0, "Básico", IF(COUNTIF($L$30:$L$71, B76)&gt;0, "Intermedio", IF(COUNTIF('Capacidad instalada 2024'!$M$30:$M$73, B76)&gt;0, "Final", "No encontrado")))</f>
        <v>Básico</v>
      </c>
      <c r="G76" s="8"/>
      <c r="H76" s="12">
        <v>275000</v>
      </c>
      <c r="I76" s="8"/>
    </row>
    <row r="77" spans="2:13" ht="15.75" customHeight="1" x14ac:dyDescent="0.25">
      <c r="B77" s="8" t="s">
        <v>223</v>
      </c>
      <c r="C77" s="9" t="s">
        <v>218</v>
      </c>
      <c r="D77" s="10" t="s">
        <v>24</v>
      </c>
      <c r="E77" s="11" t="s">
        <v>25</v>
      </c>
      <c r="F77" s="8" t="str">
        <f>IF(COUNTIF($K$30:$K$41, B77)&gt;0, "Básico", IF(COUNTIF($L$30:$L$71, B77)&gt;0, "Intermedio", IF(COUNTIF('Capacidad instalada 2024'!$M$30:$M$73, B77)&gt;0, "Final", "No encontrado")))</f>
        <v>Básico</v>
      </c>
      <c r="G77" s="8"/>
      <c r="H77" s="12">
        <v>475000</v>
      </c>
      <c r="I77" s="8"/>
    </row>
    <row r="78" spans="2:13" ht="15.75" customHeight="1" x14ac:dyDescent="0.25">
      <c r="B78" s="8" t="s">
        <v>224</v>
      </c>
      <c r="C78" s="9"/>
      <c r="D78" s="10"/>
      <c r="E78" s="11"/>
      <c r="F78" s="8" t="str">
        <f>IF(COUNTIF($K$30:$K$41, B78)&gt;0, "Básico", IF(COUNTIF($L$30:$L$71, B78)&gt;0, "Intermedio", IF(COUNTIF('Capacidad instalada 2024'!$M$30:$M$73, B78)&gt;0, "Final", "No encontrado")))</f>
        <v>Intermedio</v>
      </c>
      <c r="G78" s="8"/>
      <c r="H78" s="12"/>
      <c r="I78" s="8"/>
    </row>
    <row r="79" spans="2:13" ht="15.75" customHeight="1" x14ac:dyDescent="0.25">
      <c r="B79" s="8" t="s">
        <v>188</v>
      </c>
      <c r="C79" s="9" t="s">
        <v>27</v>
      </c>
      <c r="D79" s="10" t="s">
        <v>56</v>
      </c>
      <c r="E79" s="11" t="s">
        <v>25</v>
      </c>
      <c r="F79" s="8" t="str">
        <f>IF(COUNTIF($K$30:$K$41, B79)&gt;0, "Básico", IF(COUNTIF($L$30:$L$71, B79)&gt;0, "Intermedio", IF(COUNTIF('Capacidad instalada 2024'!$M$30:$M$73, B79)&gt;0, "Final", "No encontrado")))</f>
        <v>Intermedio</v>
      </c>
      <c r="G79" s="8"/>
      <c r="H79" s="14" t="s">
        <v>29</v>
      </c>
      <c r="I79" s="14">
        <v>15000</v>
      </c>
    </row>
    <row r="80" spans="2:13" ht="15.75" customHeight="1" x14ac:dyDescent="0.25">
      <c r="B80" s="8" t="s">
        <v>188</v>
      </c>
      <c r="C80" s="9" t="s">
        <v>182</v>
      </c>
      <c r="D80" s="10" t="s">
        <v>38</v>
      </c>
      <c r="E80" s="11" t="s">
        <v>44</v>
      </c>
      <c r="F80" s="8" t="str">
        <f>IF(COUNTIF($K$30:$K$41, B80)&gt;0, "Básico", IF(COUNTIF($L$30:$L$71, B80)&gt;0, "Intermedio", IF(COUNTIF('Capacidad instalada 2024'!$M$30:$M$73, B80)&gt;0, "Final", "No encontrado")))</f>
        <v>Intermedio</v>
      </c>
      <c r="G80" s="8"/>
      <c r="H80" s="12">
        <v>40250</v>
      </c>
      <c r="I80" s="8"/>
    </row>
    <row r="81" spans="2:9" ht="15.75" customHeight="1" x14ac:dyDescent="0.25">
      <c r="B81" s="8" t="s">
        <v>188</v>
      </c>
      <c r="C81" s="9" t="s">
        <v>185</v>
      </c>
      <c r="D81" s="10" t="s">
        <v>67</v>
      </c>
      <c r="E81" s="11" t="s">
        <v>39</v>
      </c>
      <c r="F81" s="8" t="str">
        <f>IF(COUNTIF($K$30:$K$41, B81)&gt;0, "Básico", IF(COUNTIF($L$30:$L$71, B81)&gt;0, "Intermedio", IF(COUNTIF('Capacidad instalada 2024'!$M$30:$M$73, B81)&gt;0, "Final", "No encontrado")))</f>
        <v>Intermedio</v>
      </c>
      <c r="G81" s="8"/>
      <c r="H81" s="12">
        <v>48000</v>
      </c>
      <c r="I81" s="8"/>
    </row>
    <row r="82" spans="2:9" ht="15.75" customHeight="1" x14ac:dyDescent="0.25">
      <c r="B82" s="8" t="s">
        <v>225</v>
      </c>
      <c r="C82" s="9"/>
      <c r="D82" s="10"/>
      <c r="E82" s="11"/>
      <c r="F82" s="8" t="str">
        <f>IF(COUNTIF($K$30:$K$41, B82)&gt;0, "Básico", IF(COUNTIF($L$30:$L$71, B82)&gt;0, "Intermedio", IF(COUNTIF('Capacidad instalada 2024'!$M$30:$M$73, B82)&gt;0, "Final", "No encontrado")))</f>
        <v>Final</v>
      </c>
      <c r="G82" s="8"/>
      <c r="H82" s="12"/>
      <c r="I82" s="8"/>
    </row>
    <row r="83" spans="2:9" ht="15.75" customHeight="1" x14ac:dyDescent="0.25">
      <c r="B83" s="8" t="s">
        <v>226</v>
      </c>
      <c r="C83" s="9"/>
      <c r="D83" s="10"/>
      <c r="E83" s="11"/>
      <c r="F83" s="8" t="str">
        <f>IF(COUNTIF($K$30:$K$41, B83)&gt;0, "Básico", IF(COUNTIF($L$30:$L$71, B83)&gt;0, "Intermedio", IF(COUNTIF('Capacidad instalada 2024'!$M$30:$M$73, B83)&gt;0, "Final", "No encontrado")))</f>
        <v>No encontrado</v>
      </c>
      <c r="G83" s="8"/>
      <c r="H83" s="12"/>
      <c r="I83" s="8"/>
    </row>
    <row r="84" spans="2:9" ht="15.75" customHeight="1" x14ac:dyDescent="0.25">
      <c r="B84" s="8" t="s">
        <v>227</v>
      </c>
      <c r="C84" s="9"/>
      <c r="D84" s="10"/>
      <c r="E84" s="11"/>
      <c r="F84" s="8" t="str">
        <f>IF(COUNTIF($K$30:$K$41, B84)&gt;0, "Básico", IF(COUNTIF($L$30:$L$71, B84)&gt;0, "Intermedio", IF(COUNTIF('Capacidad instalada 2024'!$M$30:$M$73, B84)&gt;0, "Final", "No encontrado")))</f>
        <v>No encontrado</v>
      </c>
      <c r="G84" s="8"/>
      <c r="H84" s="12"/>
      <c r="I84" s="8"/>
    </row>
    <row r="85" spans="2:9" ht="15.75" customHeight="1" x14ac:dyDescent="0.25">
      <c r="B85" s="8" t="s">
        <v>228</v>
      </c>
      <c r="C85" s="9"/>
      <c r="D85" s="10"/>
      <c r="E85" s="11"/>
      <c r="F85" s="8" t="str">
        <f>IF(COUNTIF($K$30:$K$41, B85)&gt;0, "Básico", IF(COUNTIF($L$30:$L$71, B85)&gt;0, "Intermedio", IF(COUNTIF('Capacidad instalada 2024'!$M$30:$M$73, B85)&gt;0, "Final", "No encontrado")))</f>
        <v>Intermedio</v>
      </c>
      <c r="G85" s="8"/>
      <c r="H85" s="12"/>
      <c r="I85" s="8"/>
    </row>
    <row r="86" spans="2:9" ht="15.75" customHeight="1" x14ac:dyDescent="0.25">
      <c r="B86" s="8" t="s">
        <v>229</v>
      </c>
      <c r="C86" s="9"/>
      <c r="D86" s="10"/>
      <c r="E86" s="11"/>
      <c r="F86" s="8" t="str">
        <f>IF(COUNTIF($K$30:$K$41, B86)&gt;0, "Básico", IF(COUNTIF($L$30:$L$71, B86)&gt;0, "Intermedio", IF(COUNTIF('Capacidad instalada 2024'!$M$30:$M$73, B86)&gt;0, "Final", "No encontrado")))</f>
        <v>Final</v>
      </c>
      <c r="G86" s="8"/>
      <c r="H86" s="12"/>
      <c r="I86" s="8"/>
    </row>
    <row r="87" spans="2:9" ht="15.75" customHeight="1" x14ac:dyDescent="0.25">
      <c r="B87" s="8" t="s">
        <v>230</v>
      </c>
      <c r="C87" s="9"/>
      <c r="D87" s="10"/>
      <c r="E87" s="11"/>
      <c r="F87" s="8" t="str">
        <f>IF(COUNTIF($K$30:$K$41, B87)&gt;0, "Básico", IF(COUNTIF($L$30:$L$71, B87)&gt;0, "Intermedio", IF(COUNTIF('Capacidad instalada 2024'!$M$30:$M$73, B87)&gt;0, "Final", "No encontrado")))</f>
        <v>No encontrado</v>
      </c>
      <c r="G87" s="8"/>
      <c r="H87" s="12"/>
      <c r="I87" s="8"/>
    </row>
    <row r="88" spans="2:9" ht="15.75" customHeight="1" x14ac:dyDescent="0.25">
      <c r="B88" s="8" t="s">
        <v>231</v>
      </c>
      <c r="C88" s="9"/>
      <c r="D88" s="10"/>
      <c r="E88" s="11"/>
      <c r="F88" s="8" t="str">
        <f>IF(COUNTIF($K$30:$K$41, B88)&gt;0, "Básico", IF(COUNTIF($L$30:$L$71, B88)&gt;0, "Intermedio", IF(COUNTIF('Capacidad instalada 2024'!$M$30:$M$73, B88)&gt;0, "Final", "No encontrado")))</f>
        <v>No encontrado</v>
      </c>
      <c r="G88" s="8"/>
      <c r="H88" s="12"/>
      <c r="I88" s="8"/>
    </row>
    <row r="89" spans="2:9" ht="15.75" customHeight="1" x14ac:dyDescent="0.25">
      <c r="B89" s="8" t="s">
        <v>232</v>
      </c>
      <c r="C89" s="9" t="s">
        <v>41</v>
      </c>
      <c r="D89" s="10" t="s">
        <v>35</v>
      </c>
      <c r="E89" s="11" t="s">
        <v>25</v>
      </c>
      <c r="F89" s="8" t="str">
        <f>IF(COUNTIF($K$30:$K$41, B89)&gt;0, "Básico", IF(COUNTIF($L$30:$L$71, B89)&gt;0, "Intermedio", IF(COUNTIF('Capacidad instalada 2024'!$M$30:$M$73, B89)&gt;0, "Final", "No encontrado")))</f>
        <v>Intermedio</v>
      </c>
      <c r="G89" s="8"/>
      <c r="H89" s="15" t="s">
        <v>42</v>
      </c>
      <c r="I89" s="15">
        <v>45400</v>
      </c>
    </row>
    <row r="90" spans="2:9" ht="15.75" customHeight="1" x14ac:dyDescent="0.25">
      <c r="B90" s="8" t="s">
        <v>233</v>
      </c>
      <c r="C90" s="9"/>
      <c r="D90" s="10"/>
      <c r="E90" s="11"/>
      <c r="F90" s="8" t="str">
        <f>IF(COUNTIF($K$30:$K$41, B90)&gt;0, "Básico", IF(COUNTIF($L$30:$L$71, B90)&gt;0, "Intermedio", IF(COUNTIF('Capacidad instalada 2024'!$M$30:$M$73, B90)&gt;0, "Final", "No encontrado")))</f>
        <v>Intermedio</v>
      </c>
      <c r="G90" s="8"/>
      <c r="H90" s="12"/>
      <c r="I90" s="8"/>
    </row>
    <row r="91" spans="2:9" ht="15.75" customHeight="1" x14ac:dyDescent="0.25">
      <c r="B91" s="8" t="s">
        <v>234</v>
      </c>
      <c r="C91" s="9"/>
      <c r="D91" s="10"/>
      <c r="E91" s="11"/>
      <c r="F91" s="8" t="str">
        <f>IF(COUNTIF($K$30:$K$41, B91)&gt;0, "Básico", IF(COUNTIF($L$30:$L$71, B91)&gt;0, "Intermedio", IF(COUNTIF('Capacidad instalada 2024'!$M$30:$M$73, B91)&gt;0, "Final", "No encontrado")))</f>
        <v>Final</v>
      </c>
      <c r="G91" s="8"/>
      <c r="H91" s="12"/>
      <c r="I91" s="8"/>
    </row>
    <row r="92" spans="2:9" ht="15.75" customHeight="1" x14ac:dyDescent="0.25">
      <c r="B92" s="8" t="s">
        <v>235</v>
      </c>
      <c r="C92" s="9" t="s">
        <v>236</v>
      </c>
      <c r="D92" s="10" t="s">
        <v>63</v>
      </c>
      <c r="E92" s="11" t="s">
        <v>49</v>
      </c>
      <c r="F92" s="8" t="str">
        <f>IF(COUNTIF($K$30:$K$41, B92)&gt;0, "Básico", IF(COUNTIF($L$30:$L$71, B92)&gt;0, "Intermedio", IF(COUNTIF('Capacidad instalada 2024'!$M$30:$M$73, B92)&gt;0, "Final", "No encontrado")))</f>
        <v>Básico</v>
      </c>
      <c r="G92" s="8"/>
      <c r="H92" s="12">
        <v>411000</v>
      </c>
      <c r="I92" s="8"/>
    </row>
    <row r="93" spans="2:9" ht="15.75" customHeight="1" x14ac:dyDescent="0.25">
      <c r="B93" s="8" t="s">
        <v>235</v>
      </c>
      <c r="C93" s="9" t="s">
        <v>185</v>
      </c>
      <c r="D93" s="10" t="s">
        <v>67</v>
      </c>
      <c r="E93" s="11" t="s">
        <v>39</v>
      </c>
      <c r="F93" s="8" t="str">
        <f>IF(COUNTIF($K$30:$K$41, B93)&gt;0, "Básico", IF(COUNTIF($L$30:$L$71, B93)&gt;0, "Intermedio", IF(COUNTIF('Capacidad instalada 2024'!$M$30:$M$73, B93)&gt;0, "Final", "No encontrado")))</f>
        <v>Básico</v>
      </c>
      <c r="G93" s="8"/>
      <c r="H93" s="12">
        <v>50000</v>
      </c>
      <c r="I93" s="8"/>
    </row>
    <row r="94" spans="2:9" ht="15.75" customHeight="1" x14ac:dyDescent="0.25">
      <c r="B94" s="8" t="s">
        <v>237</v>
      </c>
      <c r="C94" s="9" t="s">
        <v>238</v>
      </c>
      <c r="D94" s="10" t="s">
        <v>67</v>
      </c>
      <c r="E94" s="11" t="s">
        <v>39</v>
      </c>
      <c r="F94" s="8" t="str">
        <f>IF(COUNTIF($K$30:$K$41, B94)&gt;0, "Básico", IF(COUNTIF($L$30:$L$71, B94)&gt;0, "Intermedio", IF(COUNTIF('Capacidad instalada 2024'!$M$30:$M$73, B94)&gt;0, "Final", "No encontrado")))</f>
        <v>No encontrado</v>
      </c>
      <c r="G94" s="8"/>
      <c r="H94" s="12">
        <v>90000</v>
      </c>
      <c r="I94" s="8"/>
    </row>
    <row r="95" spans="2:9" ht="15.75" customHeight="1" x14ac:dyDescent="0.25">
      <c r="B95" s="8" t="s">
        <v>239</v>
      </c>
      <c r="C95" s="9" t="s">
        <v>41</v>
      </c>
      <c r="D95" s="10" t="s">
        <v>35</v>
      </c>
      <c r="E95" s="11" t="s">
        <v>25</v>
      </c>
      <c r="F95" s="8" t="str">
        <f>IF(COUNTIF($K$30:$K$41, B95)&gt;0, "Básico", IF(COUNTIF($L$30:$L$71, B95)&gt;0, "Intermedio", IF(COUNTIF('Capacidad instalada 2024'!$M$30:$M$73, B95)&gt;0, "Final", "No encontrado")))</f>
        <v>Final</v>
      </c>
      <c r="G95" s="8"/>
      <c r="H95" s="15" t="s">
        <v>42</v>
      </c>
      <c r="I95" s="15">
        <v>9000</v>
      </c>
    </row>
    <row r="96" spans="2:9" ht="15.75" customHeight="1" x14ac:dyDescent="0.25">
      <c r="B96" s="8" t="s">
        <v>240</v>
      </c>
      <c r="C96" s="9" t="s">
        <v>41</v>
      </c>
      <c r="D96" s="10" t="s">
        <v>35</v>
      </c>
      <c r="E96" s="11" t="s">
        <v>25</v>
      </c>
      <c r="F96" s="8" t="str">
        <f>IF(COUNTIF($K$30:$K$41, B96)&gt;0, "Básico", IF(COUNTIF($L$30:$L$71, B96)&gt;0, "Intermedio", IF(COUNTIF('Capacidad instalada 2024'!$M$30:$M$73, B96)&gt;0, "Final", "No encontrado")))</f>
        <v>No encontrado</v>
      </c>
      <c r="G96" s="8"/>
      <c r="H96" s="15" t="s">
        <v>42</v>
      </c>
      <c r="I96" s="15">
        <v>2000</v>
      </c>
    </row>
    <row r="97" spans="2:9" ht="15.75" customHeight="1" x14ac:dyDescent="0.25">
      <c r="B97" s="8" t="s">
        <v>241</v>
      </c>
      <c r="C97" s="9" t="s">
        <v>41</v>
      </c>
      <c r="D97" s="10" t="s">
        <v>35</v>
      </c>
      <c r="E97" s="11" t="s">
        <v>25</v>
      </c>
      <c r="F97" s="8" t="str">
        <f>IF(COUNTIF($K$30:$K$41, B97)&gt;0, "Básico", IF(COUNTIF($L$30:$L$71, B97)&gt;0, "Intermedio", IF(COUNTIF('Capacidad instalada 2024'!$M$30:$M$73, B97)&gt;0, "Final", "No encontrado")))</f>
        <v>Final</v>
      </c>
      <c r="G97" s="8"/>
      <c r="H97" s="15" t="s">
        <v>42</v>
      </c>
      <c r="I97" s="15">
        <v>8500</v>
      </c>
    </row>
    <row r="98" spans="2:9" ht="15.75" customHeight="1" x14ac:dyDescent="0.25">
      <c r="B98" s="8" t="s">
        <v>242</v>
      </c>
      <c r="C98" s="9"/>
      <c r="D98" s="10"/>
      <c r="E98" s="11"/>
      <c r="F98" s="8" t="str">
        <f>IF(COUNTIF($K$30:$K$41, B98)&gt;0, "Básico", IF(COUNTIF($L$30:$L$71, B98)&gt;0, "Intermedio", IF(COUNTIF('Capacidad instalada 2024'!$M$30:$M$73, B98)&gt;0, "Final", "No encontrado")))</f>
        <v>No encontrado</v>
      </c>
      <c r="G98" s="8"/>
      <c r="H98" s="12"/>
      <c r="I98" s="8"/>
    </row>
    <row r="99" spans="2:9" ht="15.75" customHeight="1" x14ac:dyDescent="0.25">
      <c r="B99" s="8" t="s">
        <v>243</v>
      </c>
      <c r="C99" s="9"/>
      <c r="D99" s="10"/>
      <c r="E99" s="11"/>
      <c r="F99" s="8" t="str">
        <f>IF(COUNTIF($K$30:$K$41, B99)&gt;0, "Básico", IF(COUNTIF($L$30:$L$71, B99)&gt;0, "Intermedio", IF(COUNTIF('Capacidad instalada 2024'!$M$30:$M$73, B99)&gt;0, "Final", "No encontrado")))</f>
        <v>No encontrado</v>
      </c>
      <c r="G99" s="8"/>
      <c r="H99" s="12"/>
      <c r="I99" s="8"/>
    </row>
    <row r="100" spans="2:9" ht="15.75" customHeight="1" x14ac:dyDescent="0.25">
      <c r="B100" s="8" t="s">
        <v>244</v>
      </c>
      <c r="C100" s="9" t="s">
        <v>81</v>
      </c>
      <c r="D100" s="10" t="s">
        <v>48</v>
      </c>
      <c r="E100" s="11" t="s">
        <v>25</v>
      </c>
      <c r="F100" s="8" t="str">
        <f>IF(COUNTIF($K$30:$K$41, B100)&gt;0, "Básico", IF(COUNTIF($L$30:$L$71, B100)&gt;0, "Intermedio", IF(COUNTIF('Capacidad instalada 2024'!$M$30:$M$73, B100)&gt;0, "Final", "No encontrado")))</f>
        <v>No encontrado</v>
      </c>
      <c r="G100" s="8"/>
      <c r="H100" s="12">
        <v>60000</v>
      </c>
      <c r="I100" s="8"/>
    </row>
    <row r="101" spans="2:9" ht="15.75" customHeight="1" x14ac:dyDescent="0.25">
      <c r="B101" s="8" t="s">
        <v>244</v>
      </c>
      <c r="C101" s="9" t="s">
        <v>245</v>
      </c>
      <c r="D101" s="10" t="s">
        <v>54</v>
      </c>
      <c r="E101" s="11" t="s">
        <v>51</v>
      </c>
      <c r="F101" s="8" t="str">
        <f>IF(COUNTIF($K$30:$K$41, B101)&gt;0, "Básico", IF(COUNTIF($L$30:$L$71, B101)&gt;0, "Intermedio", IF(COUNTIF('Capacidad instalada 2024'!$M$30:$M$73, B101)&gt;0, "Final", "No encontrado")))</f>
        <v>No encontrado</v>
      </c>
      <c r="G101" s="8"/>
      <c r="H101" s="12">
        <v>48000</v>
      </c>
      <c r="I101" s="8"/>
    </row>
    <row r="102" spans="2:9" ht="15.75" customHeight="1" x14ac:dyDescent="0.25">
      <c r="B102" s="8" t="s">
        <v>244</v>
      </c>
      <c r="C102" s="9" t="s">
        <v>41</v>
      </c>
      <c r="D102" s="10" t="s">
        <v>35</v>
      </c>
      <c r="E102" s="11" t="s">
        <v>25</v>
      </c>
      <c r="F102" s="8" t="str">
        <f>IF(COUNTIF($K$30:$K$41, B102)&gt;0, "Básico", IF(COUNTIF($L$30:$L$71, B102)&gt;0, "Intermedio", IF(COUNTIF('Capacidad instalada 2024'!$M$30:$M$73, B102)&gt;0, "Final", "No encontrado")))</f>
        <v>No encontrado</v>
      </c>
      <c r="G102" s="8"/>
      <c r="H102" s="15" t="s">
        <v>42</v>
      </c>
      <c r="I102" s="15">
        <v>33000</v>
      </c>
    </row>
    <row r="103" spans="2:9" ht="15.75" customHeight="1" x14ac:dyDescent="0.25">
      <c r="B103" s="8" t="s">
        <v>246</v>
      </c>
      <c r="C103" s="9"/>
      <c r="D103" s="10"/>
      <c r="E103" s="11"/>
      <c r="F103" s="8" t="str">
        <f>IF(COUNTIF($K$30:$K$41, B103)&gt;0, "Básico", IF(COUNTIF($L$30:$L$71, B103)&gt;0, "Intermedio", IF(COUNTIF('Capacidad instalada 2024'!$M$30:$M$73, B103)&gt;0, "Final", "No encontrado")))</f>
        <v>No encontrado</v>
      </c>
      <c r="G103" s="8"/>
      <c r="H103" s="12"/>
      <c r="I103" s="8"/>
    </row>
    <row r="104" spans="2:9" ht="15.75" customHeight="1" x14ac:dyDescent="0.25">
      <c r="B104" s="8" t="s">
        <v>247</v>
      </c>
      <c r="C104" s="9" t="s">
        <v>248</v>
      </c>
      <c r="D104" s="10" t="s">
        <v>35</v>
      </c>
      <c r="E104" s="11" t="s">
        <v>25</v>
      </c>
      <c r="F104" s="8" t="str">
        <f>IF(COUNTIF($K$30:$K$41, B104)&gt;0, "Básico", IF(COUNTIF($L$30:$L$71, B104)&gt;0, "Intermedio", IF(COUNTIF('Capacidad instalada 2024'!$M$30:$M$73, B104)&gt;0, "Final", "No encontrado")))</f>
        <v>Final</v>
      </c>
      <c r="G104" s="8"/>
      <c r="H104" s="12">
        <v>85000</v>
      </c>
      <c r="I104" s="8"/>
    </row>
    <row r="105" spans="2:9" ht="15.75" customHeight="1" x14ac:dyDescent="0.25">
      <c r="B105" s="8" t="s">
        <v>249</v>
      </c>
      <c r="C105" s="9" t="s">
        <v>70</v>
      </c>
      <c r="D105" s="10" t="s">
        <v>43</v>
      </c>
      <c r="E105" s="11" t="s">
        <v>33</v>
      </c>
      <c r="F105" s="8" t="str">
        <f>IF(COUNTIF($K$30:$K$41, B105)&gt;0, "Básico", IF(COUNTIF($L$30:$L$71, B105)&gt;0, "Intermedio", IF(COUNTIF('Capacidad instalada 2024'!$M$30:$M$73, B105)&gt;0, "Final", "No encontrado")))</f>
        <v>Final</v>
      </c>
      <c r="G105" s="8"/>
      <c r="H105" s="12">
        <v>84000</v>
      </c>
      <c r="I105" s="8"/>
    </row>
    <row r="106" spans="2:9" ht="15.75" customHeight="1" x14ac:dyDescent="0.25">
      <c r="B106" s="8" t="s">
        <v>249</v>
      </c>
      <c r="C106" s="9" t="s">
        <v>72</v>
      </c>
      <c r="D106" s="10" t="s">
        <v>47</v>
      </c>
      <c r="E106" s="11" t="s">
        <v>30</v>
      </c>
      <c r="F106" s="8" t="str">
        <f>IF(COUNTIF($K$30:$K$41, B106)&gt;0, "Básico", IF(COUNTIF($L$30:$L$71, B106)&gt;0, "Intermedio", IF(COUNTIF('Capacidad instalada 2024'!$M$30:$M$73, B106)&gt;0, "Final", "No encontrado")))</f>
        <v>Final</v>
      </c>
      <c r="G106" s="8"/>
      <c r="H106" s="12">
        <v>8300</v>
      </c>
      <c r="I106" s="8"/>
    </row>
    <row r="107" spans="2:9" ht="15.75" customHeight="1" x14ac:dyDescent="0.25">
      <c r="B107" s="8" t="s">
        <v>250</v>
      </c>
      <c r="C107" s="9"/>
      <c r="D107" s="10"/>
      <c r="E107" s="11"/>
      <c r="F107" s="8" t="str">
        <f>IF(COUNTIF($K$30:$K$41, B107)&gt;0, "Básico", IF(COUNTIF($L$30:$L$71, B107)&gt;0, "Intermedio", IF(COUNTIF('Capacidad instalada 2024'!$M$30:$M$73, B107)&gt;0, "Final", "No encontrado")))</f>
        <v>Intermedio</v>
      </c>
      <c r="G107" s="8"/>
      <c r="H107" s="12"/>
      <c r="I107" s="8"/>
    </row>
    <row r="108" spans="2:9" ht="15.75" customHeight="1" x14ac:dyDescent="0.25">
      <c r="B108" s="8" t="s">
        <v>251</v>
      </c>
      <c r="C108" s="9"/>
      <c r="D108" s="10"/>
      <c r="E108" s="11"/>
      <c r="F108" s="8" t="str">
        <f>IF(COUNTIF($K$30:$K$41, B108)&gt;0, "Básico", IF(COUNTIF($L$30:$L$71, B108)&gt;0, "Intermedio", IF(COUNTIF('Capacidad instalada 2024'!$M$30:$M$73, B108)&gt;0, "Final", "No encontrado")))</f>
        <v>Final</v>
      </c>
      <c r="G108" s="8"/>
      <c r="H108" s="12"/>
      <c r="I108" s="8"/>
    </row>
    <row r="109" spans="2:9" ht="15.75" customHeight="1" x14ac:dyDescent="0.25">
      <c r="B109" s="8" t="s">
        <v>252</v>
      </c>
      <c r="C109" s="9" t="s">
        <v>253</v>
      </c>
      <c r="D109" s="10" t="s">
        <v>32</v>
      </c>
      <c r="E109" s="11" t="s">
        <v>25</v>
      </c>
      <c r="F109" s="8" t="str">
        <f>IF(COUNTIF($K$30:$K$41, B109)&gt;0, "Básico", IF(COUNTIF($L$30:$L$71, B109)&gt;0, "Intermedio", IF(COUNTIF('Capacidad instalada 2024'!$M$30:$M$73, B109)&gt;0, "Final", "No encontrado")))</f>
        <v>Final</v>
      </c>
      <c r="G109" s="8"/>
      <c r="H109" s="14" t="s">
        <v>29</v>
      </c>
      <c r="I109" s="14">
        <v>46000</v>
      </c>
    </row>
    <row r="110" spans="2:9" ht="15.75" customHeight="1" x14ac:dyDescent="0.25">
      <c r="B110" s="8" t="s">
        <v>254</v>
      </c>
      <c r="C110" s="9"/>
      <c r="D110" s="10"/>
      <c r="E110" s="11"/>
      <c r="F110" s="8" t="str">
        <f>IF(COUNTIF($K$30:$K$41, B110)&gt;0, "Básico", IF(COUNTIF($L$30:$L$71, B110)&gt;0, "Intermedio", IF(COUNTIF('Capacidad instalada 2024'!$M$30:$M$73, B110)&gt;0, "Final", "No encontrado")))</f>
        <v>No encontrado</v>
      </c>
      <c r="G110" s="8"/>
      <c r="H110" s="12"/>
      <c r="I110" s="8"/>
    </row>
    <row r="111" spans="2:9" ht="15.75" customHeight="1" x14ac:dyDescent="0.25">
      <c r="B111" s="8" t="s">
        <v>255</v>
      </c>
      <c r="C111" s="9"/>
      <c r="D111" s="10"/>
      <c r="E111" s="11"/>
      <c r="F111" s="8" t="str">
        <f>IF(COUNTIF($K$30:$K$41, B111)&gt;0, "Básico", IF(COUNTIF($L$30:$L$71, B111)&gt;0, "Intermedio", IF(COUNTIF('Capacidad instalada 2024'!$M$30:$M$73, B111)&gt;0, "Final", "No encontrado")))</f>
        <v>Intermedio</v>
      </c>
      <c r="G111" s="8"/>
      <c r="H111" s="12"/>
      <c r="I111" s="8"/>
    </row>
    <row r="112" spans="2:9" ht="15.75" customHeight="1" x14ac:dyDescent="0.25">
      <c r="B112" s="8" t="s">
        <v>256</v>
      </c>
      <c r="C112" s="9"/>
      <c r="D112" s="10"/>
      <c r="E112" s="11"/>
      <c r="F112" s="8" t="str">
        <f>IF(COUNTIF($K$30:$K$41, B112)&gt;0, "Básico", IF(COUNTIF($L$30:$L$71, B112)&gt;0, "Intermedio", IF(COUNTIF('Capacidad instalada 2024'!$M$30:$M$73, B112)&gt;0, "Final", "No encontrado")))</f>
        <v>Intermedio</v>
      </c>
      <c r="G112" s="8"/>
      <c r="H112" s="12"/>
      <c r="I112" s="8"/>
    </row>
    <row r="113" spans="2:9" ht="15.75" customHeight="1" x14ac:dyDescent="0.25">
      <c r="B113" s="8" t="s">
        <v>257</v>
      </c>
      <c r="C113" s="9"/>
      <c r="D113" s="10"/>
      <c r="E113" s="11"/>
      <c r="F113" s="8" t="str">
        <f>IF(COUNTIF($K$30:$K$41, B113)&gt;0, "Básico", IF(COUNTIF($L$30:$L$71, B113)&gt;0, "Intermedio", IF(COUNTIF('Capacidad instalada 2024'!$M$30:$M$73, B113)&gt;0, "Final", "No encontrado")))</f>
        <v>Intermedio</v>
      </c>
      <c r="G113" s="8"/>
      <c r="H113" s="12"/>
      <c r="I113" s="8"/>
    </row>
    <row r="114" spans="2:9" ht="15.75" customHeight="1" x14ac:dyDescent="0.25">
      <c r="B114" s="8" t="s">
        <v>258</v>
      </c>
      <c r="C114" s="9"/>
      <c r="D114" s="10"/>
      <c r="E114" s="11"/>
      <c r="F114" s="8" t="str">
        <f>IF(COUNTIF($K$30:$K$41, B114)&gt;0, "Básico", IF(COUNTIF($L$30:$L$71, B114)&gt;0, "Intermedio", IF(COUNTIF('Capacidad instalada 2024'!$M$30:$M$73, B114)&gt;0, "Final", "No encontrado")))</f>
        <v>Intermedio</v>
      </c>
      <c r="G114" s="8"/>
      <c r="H114" s="12"/>
      <c r="I114" s="8"/>
    </row>
    <row r="115" spans="2:9" ht="15.75" customHeight="1" x14ac:dyDescent="0.25">
      <c r="B115" s="8" t="s">
        <v>259</v>
      </c>
      <c r="C115" s="9" t="s">
        <v>260</v>
      </c>
      <c r="D115" s="10" t="s">
        <v>24</v>
      </c>
      <c r="E115" s="11" t="s">
        <v>25</v>
      </c>
      <c r="F115" s="8" t="str">
        <f>IF(COUNTIF($K$30:$K$41, B115)&gt;0, "Básico", IF(COUNTIF($L$30:$L$71, B115)&gt;0, "Intermedio", IF(COUNTIF('Capacidad instalada 2024'!$M$30:$M$73, B115)&gt;0, "Final", "No encontrado")))</f>
        <v>Final</v>
      </c>
      <c r="G115" s="8"/>
      <c r="H115" s="12">
        <v>230000</v>
      </c>
      <c r="I115" s="8"/>
    </row>
    <row r="116" spans="2:9" ht="15.75" customHeight="1" x14ac:dyDescent="0.25">
      <c r="B116" s="8" t="s">
        <v>178</v>
      </c>
      <c r="C116" s="9" t="s">
        <v>261</v>
      </c>
      <c r="D116" s="10" t="s">
        <v>77</v>
      </c>
      <c r="E116" s="11" t="s">
        <v>25</v>
      </c>
      <c r="F116" s="8" t="str">
        <f>IF(COUNTIF($K$30:$K$41, B116)&gt;0, "Básico", IF(COUNTIF($L$30:$L$71, B116)&gt;0, "Intermedio", IF(COUNTIF('Capacidad instalada 2024'!$M$30:$M$73, B116)&gt;0, "Final", "No encontrado")))</f>
        <v>Final</v>
      </c>
      <c r="G116" s="8"/>
      <c r="H116" s="12">
        <v>65000</v>
      </c>
      <c r="I116" s="8"/>
    </row>
    <row r="117" spans="2:9" ht="15.75" customHeight="1" x14ac:dyDescent="0.25">
      <c r="B117" s="8" t="s">
        <v>262</v>
      </c>
      <c r="C117" s="9" t="s">
        <v>263</v>
      </c>
      <c r="D117" s="10" t="s">
        <v>50</v>
      </c>
      <c r="E117" s="11" t="s">
        <v>39</v>
      </c>
      <c r="F117" s="8" t="str">
        <f>IF(COUNTIF($K$30:$K$41, B117)&gt;0, "Básico", IF(COUNTIF($L$30:$L$71, B117)&gt;0, "Intermedio", IF(COUNTIF('Capacidad instalada 2024'!$M$30:$M$73, B117)&gt;0, "Final", "No encontrado")))</f>
        <v>Final</v>
      </c>
      <c r="G117" s="8"/>
      <c r="H117" s="12">
        <v>20000</v>
      </c>
      <c r="I117" s="8"/>
    </row>
    <row r="118" spans="2:9" ht="15.75" customHeight="1" x14ac:dyDescent="0.25">
      <c r="B118" s="8" t="s">
        <v>262</v>
      </c>
      <c r="C118" s="9" t="s">
        <v>264</v>
      </c>
      <c r="D118" s="10" t="s">
        <v>36</v>
      </c>
      <c r="E118" s="11" t="s">
        <v>36</v>
      </c>
      <c r="F118" s="8" t="str">
        <f>IF(COUNTIF($K$30:$K$41, B118)&gt;0, "Básico", IF(COUNTIF($L$30:$L$71, B118)&gt;0, "Intermedio", IF(COUNTIF('Capacidad instalada 2024'!$M$30:$M$73, B118)&gt;0, "Final", "No encontrado")))</f>
        <v>Final</v>
      </c>
      <c r="G118" s="8"/>
      <c r="H118" s="12">
        <v>20000</v>
      </c>
      <c r="I118" s="8"/>
    </row>
    <row r="119" spans="2:9" ht="15.75" customHeight="1" x14ac:dyDescent="0.25">
      <c r="B119" s="8" t="s">
        <v>184</v>
      </c>
      <c r="C119" s="9"/>
      <c r="D119" s="10"/>
      <c r="E119" s="11"/>
      <c r="F119" s="8" t="str">
        <f>IF(COUNTIF($K$30:$K$41, B119)&gt;0, "Básico", IF(COUNTIF($L$30:$L$71, B119)&gt;0, "Intermedio", IF(COUNTIF('Capacidad instalada 2024'!$M$30:$M$73, B119)&gt;0, "Final", "No encontrado")))</f>
        <v>Final</v>
      </c>
      <c r="G119" s="8"/>
      <c r="H119" s="12"/>
      <c r="I119" s="8"/>
    </row>
    <row r="120" spans="2:9" ht="15.75" customHeight="1" x14ac:dyDescent="0.25">
      <c r="B120" s="8" t="s">
        <v>265</v>
      </c>
      <c r="C120" s="9" t="s">
        <v>218</v>
      </c>
      <c r="D120" s="10" t="s">
        <v>24</v>
      </c>
      <c r="E120" s="11" t="s">
        <v>25</v>
      </c>
      <c r="F120" s="8" t="str">
        <f>IF(COUNTIF($K$30:$K$41, B120)&gt;0, "Básico", IF(COUNTIF($L$30:$L$71, B120)&gt;0, "Intermedio", IF(COUNTIF('Capacidad instalada 2024'!$M$30:$M$73, B120)&gt;0, "Final", "No encontrado")))</f>
        <v>Final</v>
      </c>
      <c r="G120" s="8"/>
      <c r="H120" s="12"/>
      <c r="I120" s="8"/>
    </row>
    <row r="121" spans="2:9" ht="15.75" customHeight="1" x14ac:dyDescent="0.25">
      <c r="B121" s="8" t="s">
        <v>265</v>
      </c>
      <c r="C121" s="9" t="s">
        <v>218</v>
      </c>
      <c r="D121" s="10" t="s">
        <v>24</v>
      </c>
      <c r="E121" s="11" t="s">
        <v>25</v>
      </c>
      <c r="F121" s="8" t="str">
        <f>IF(COUNTIF($K$30:$K$41, B121)&gt;0, "Básico", IF(COUNTIF($L$30:$L$71, B121)&gt;0, "Intermedio", IF(COUNTIF('Capacidad instalada 2024'!$M$30:$M$73, B121)&gt;0, "Final", "No encontrado")))</f>
        <v>Final</v>
      </c>
      <c r="G121" s="8"/>
      <c r="H121" s="12">
        <v>135000</v>
      </c>
      <c r="I121" s="8"/>
    </row>
    <row r="122" spans="2:9" ht="15.75" customHeight="1" x14ac:dyDescent="0.25">
      <c r="B122" s="8" t="s">
        <v>265</v>
      </c>
      <c r="C122" s="9" t="s">
        <v>218</v>
      </c>
      <c r="D122" s="10" t="s">
        <v>24</v>
      </c>
      <c r="E122" s="11" t="s">
        <v>25</v>
      </c>
      <c r="F122" s="8" t="str">
        <f>IF(COUNTIF($K$30:$K$41, B122)&gt;0, "Básico", IF(COUNTIF($L$30:$L$71, B122)&gt;0, "Intermedio", IF(COUNTIF('Capacidad instalada 2024'!$M$30:$M$73, B122)&gt;0, "Final", "No encontrado")))</f>
        <v>Final</v>
      </c>
      <c r="G122" s="8"/>
      <c r="H122" s="12"/>
      <c r="I122" s="8"/>
    </row>
    <row r="123" spans="2:9" ht="15.75" customHeight="1" x14ac:dyDescent="0.25">
      <c r="B123" s="8" t="s">
        <v>266</v>
      </c>
      <c r="C123" s="9" t="s">
        <v>218</v>
      </c>
      <c r="D123" s="10" t="s">
        <v>24</v>
      </c>
      <c r="E123" s="11" t="s">
        <v>25</v>
      </c>
      <c r="F123" s="8" t="str">
        <f>IF(COUNTIF($K$30:$K$41, B123)&gt;0, "Básico", IF(COUNTIF($L$30:$L$71, B123)&gt;0, "Intermedio", IF(COUNTIF('Capacidad instalada 2024'!$M$30:$M$73, B123)&gt;0, "Final", "No encontrado")))</f>
        <v>Final</v>
      </c>
      <c r="G123" s="8"/>
      <c r="H123" s="12">
        <v>110000</v>
      </c>
      <c r="I123" s="8"/>
    </row>
    <row r="124" spans="2:9" ht="15.75" customHeight="1" x14ac:dyDescent="0.25">
      <c r="B124" s="8" t="s">
        <v>267</v>
      </c>
      <c r="C124" s="9" t="s">
        <v>218</v>
      </c>
      <c r="D124" s="10" t="s">
        <v>24</v>
      </c>
      <c r="E124" s="11" t="s">
        <v>25</v>
      </c>
      <c r="F124" s="8" t="str">
        <f>IF(COUNTIF($K$30:$K$41, B124)&gt;0, "Básico", IF(COUNTIF($L$30:$L$71, B124)&gt;0, "Intermedio", IF(COUNTIF('Capacidad instalada 2024'!$M$30:$M$73, B124)&gt;0, "Final", "No encontrado")))</f>
        <v>Final</v>
      </c>
      <c r="G124" s="8"/>
      <c r="H124" s="12">
        <v>150000</v>
      </c>
      <c r="I124" s="8"/>
    </row>
    <row r="125" spans="2:9" ht="15.75" customHeight="1" x14ac:dyDescent="0.25">
      <c r="B125" s="8" t="s">
        <v>267</v>
      </c>
      <c r="C125" s="9" t="s">
        <v>218</v>
      </c>
      <c r="D125" s="10" t="s">
        <v>24</v>
      </c>
      <c r="E125" s="11" t="s">
        <v>25</v>
      </c>
      <c r="F125" s="8" t="str">
        <f>IF(COUNTIF($K$30:$K$41, B125)&gt;0, "Básico", IF(COUNTIF($L$30:$L$71, B125)&gt;0, "Intermedio", IF(COUNTIF('Capacidad instalada 2024'!$M$30:$M$73, B125)&gt;0, "Final", "No encontrado")))</f>
        <v>Final</v>
      </c>
      <c r="G125" s="8"/>
      <c r="H125" s="12">
        <v>370000</v>
      </c>
      <c r="I125" s="8"/>
    </row>
    <row r="126" spans="2:9" ht="15.75" customHeight="1" x14ac:dyDescent="0.25">
      <c r="B126" s="8" t="s">
        <v>268</v>
      </c>
      <c r="C126" s="9" t="s">
        <v>81</v>
      </c>
      <c r="D126" s="10" t="s">
        <v>48</v>
      </c>
      <c r="E126" s="11" t="s">
        <v>25</v>
      </c>
      <c r="F126" s="8" t="str">
        <f>IF(COUNTIF($K$30:$K$41, B126)&gt;0, "Básico", IF(COUNTIF($L$30:$L$71, B126)&gt;0, "Intermedio", IF(COUNTIF('Capacidad instalada 2024'!$M$30:$M$73, B126)&gt;0, "Final", "No encontrado")))</f>
        <v>Final</v>
      </c>
      <c r="G126" s="8"/>
      <c r="H126" s="12">
        <v>26000</v>
      </c>
      <c r="I126" s="8"/>
    </row>
    <row r="127" spans="2:9" ht="15.75" customHeight="1" x14ac:dyDescent="0.25">
      <c r="B127" s="8" t="s">
        <v>269</v>
      </c>
      <c r="C127" s="9" t="s">
        <v>218</v>
      </c>
      <c r="D127" s="10" t="s">
        <v>67</v>
      </c>
      <c r="E127" s="11" t="s">
        <v>39</v>
      </c>
      <c r="F127" s="8" t="str">
        <f>IF(COUNTIF($K$30:$K$41, B127)&gt;0, "Básico", IF(COUNTIF($L$30:$L$71, B127)&gt;0, "Intermedio", IF(COUNTIF('Capacidad instalada 2024'!$M$30:$M$73, B127)&gt;0, "Final", "No encontrado")))</f>
        <v>Final</v>
      </c>
      <c r="G127" s="8"/>
      <c r="H127" s="12">
        <v>44000</v>
      </c>
      <c r="I127" s="8"/>
    </row>
    <row r="128" spans="2:9" ht="15.75" customHeight="1" x14ac:dyDescent="0.25">
      <c r="B128" s="8" t="s">
        <v>270</v>
      </c>
      <c r="C128" s="9" t="s">
        <v>271</v>
      </c>
      <c r="D128" s="10" t="s">
        <v>54</v>
      </c>
      <c r="E128" s="11" t="s">
        <v>51</v>
      </c>
      <c r="F128" s="8" t="str">
        <f>IF(COUNTIF($K$30:$K$41, B128)&gt;0, "Básico", IF(COUNTIF($L$30:$L$71, B128)&gt;0, "Intermedio", IF(COUNTIF('Capacidad instalada 2024'!$M$30:$M$73, B128)&gt;0, "Final", "No encontrado")))</f>
        <v>Final</v>
      </c>
      <c r="G128" s="8"/>
      <c r="H128" s="12">
        <v>120000</v>
      </c>
      <c r="I128" s="8"/>
    </row>
    <row r="129" spans="2:9" ht="15.75" customHeight="1" x14ac:dyDescent="0.25">
      <c r="B129" s="8" t="s">
        <v>270</v>
      </c>
      <c r="C129" s="9" t="s">
        <v>271</v>
      </c>
      <c r="D129" s="10" t="s">
        <v>48</v>
      </c>
      <c r="E129" s="11" t="s">
        <v>25</v>
      </c>
      <c r="F129" s="8" t="str">
        <f>IF(COUNTIF($K$30:$K$41, B129)&gt;0, "Básico", IF(COUNTIF($L$30:$L$71, B129)&gt;0, "Intermedio", IF(COUNTIF('Capacidad instalada 2024'!$M$30:$M$73, B129)&gt;0, "Final", "No encontrado")))</f>
        <v>Final</v>
      </c>
      <c r="G129" s="8"/>
      <c r="H129" s="12">
        <v>190000</v>
      </c>
      <c r="I129" s="8"/>
    </row>
    <row r="130" spans="2:9" ht="15.75" customHeight="1" x14ac:dyDescent="0.25">
      <c r="B130" s="8" t="s">
        <v>204</v>
      </c>
      <c r="C130" s="9" t="s">
        <v>272</v>
      </c>
      <c r="D130" s="10" t="s">
        <v>77</v>
      </c>
      <c r="E130" s="11" t="s">
        <v>25</v>
      </c>
      <c r="F130" s="8" t="str">
        <f>IF(COUNTIF($K$30:$K$41, B130)&gt;0, "Básico", IF(COUNTIF($L$30:$L$71, B130)&gt;0, "Intermedio", IF(COUNTIF('Capacidad instalada 2024'!$M$30:$M$73, B130)&gt;0, "Final", "No encontrado")))</f>
        <v>Final</v>
      </c>
      <c r="G130" s="8"/>
      <c r="H130" s="12">
        <v>210000</v>
      </c>
      <c r="I130" s="8"/>
    </row>
    <row r="131" spans="2:9" ht="15.75" customHeight="1" x14ac:dyDescent="0.25">
      <c r="B131" s="8" t="s">
        <v>207</v>
      </c>
      <c r="C131" s="9" t="s">
        <v>273</v>
      </c>
      <c r="D131" s="10" t="s">
        <v>60</v>
      </c>
      <c r="E131" s="11" t="s">
        <v>25</v>
      </c>
      <c r="F131" s="8" t="str">
        <f>IF(COUNTIF($K$30:$K$41, B131)&gt;0, "Básico", IF(COUNTIF($L$30:$L$71, B131)&gt;0, "Intermedio", IF(COUNTIF('Capacidad instalada 2024'!$M$30:$M$73, B131)&gt;0, "Final", "No encontrado")))</f>
        <v>Final</v>
      </c>
      <c r="G131" s="8"/>
      <c r="H131" s="15" t="s">
        <v>42</v>
      </c>
      <c r="I131" s="15">
        <v>67525</v>
      </c>
    </row>
    <row r="132" spans="2:9" ht="15.75" customHeight="1" x14ac:dyDescent="0.25">
      <c r="B132" s="8" t="s">
        <v>274</v>
      </c>
      <c r="C132" s="9"/>
      <c r="D132" s="10"/>
      <c r="E132" s="11"/>
      <c r="F132" s="8" t="str">
        <f>IF(COUNTIF($K$30:$K$41, B132)&gt;0, "Básico", IF(COUNTIF($L$30:$L$71, B132)&gt;0, "Intermedio", IF(COUNTIF('Capacidad instalada 2024'!$M$30:$M$73, B132)&gt;0, "Final", "No encontrado")))</f>
        <v>Intermedio</v>
      </c>
      <c r="G132" s="8"/>
      <c r="H132" s="12"/>
      <c r="I132" s="8"/>
    </row>
    <row r="133" spans="2:9" ht="15.75" customHeight="1" x14ac:dyDescent="0.25">
      <c r="B133" s="8" t="s">
        <v>275</v>
      </c>
      <c r="C133" s="9"/>
      <c r="D133" s="10"/>
      <c r="E133" s="11"/>
      <c r="F133" s="8" t="str">
        <f>IF(COUNTIF($K$30:$K$41, B133)&gt;0, "Básico", IF(COUNTIF($L$30:$L$71, B133)&gt;0, "Intermedio", IF(COUNTIF('Capacidad instalada 2024'!$M$30:$M$73, B133)&gt;0, "Final", "No encontrado")))</f>
        <v>No encontrado</v>
      </c>
      <c r="G133" s="8"/>
      <c r="H133" s="12"/>
      <c r="I133" s="8"/>
    </row>
    <row r="134" spans="2:9" ht="15.75" customHeight="1" x14ac:dyDescent="0.25">
      <c r="B134" s="8" t="s">
        <v>276</v>
      </c>
      <c r="C134" s="9"/>
      <c r="D134" s="10"/>
      <c r="E134" s="11"/>
      <c r="F134" s="8" t="str">
        <f>IF(COUNTIF($K$30:$K$41, B134)&gt;0, "Básico", IF(COUNTIF($L$30:$L$71, B134)&gt;0, "Intermedio", IF(COUNTIF('Capacidad instalada 2024'!$M$30:$M$73, B134)&gt;0, "Final", "No encontrado")))</f>
        <v>No encontrado</v>
      </c>
      <c r="G134" s="8"/>
      <c r="H134" s="12"/>
      <c r="I134" s="8"/>
    </row>
    <row r="135" spans="2:9" ht="15.75" customHeight="1" x14ac:dyDescent="0.25">
      <c r="B135" s="8" t="s">
        <v>277</v>
      </c>
      <c r="C135" s="9"/>
      <c r="D135" s="10"/>
      <c r="E135" s="11"/>
      <c r="F135" s="8" t="str">
        <f>IF(COUNTIF($K$30:$K$41, B135)&gt;0, "Básico", IF(COUNTIF($L$30:$L$71, B135)&gt;0, "Intermedio", IF(COUNTIF('Capacidad instalada 2024'!$M$30:$M$73, B135)&gt;0, "Final", "No encontrado")))</f>
        <v>No encontrado</v>
      </c>
      <c r="G135" s="8"/>
      <c r="H135" s="12"/>
      <c r="I135" s="8"/>
    </row>
    <row r="136" spans="2:9" ht="15.75" customHeight="1" x14ac:dyDescent="0.25">
      <c r="B136" s="8" t="s">
        <v>210</v>
      </c>
      <c r="C136" s="9"/>
      <c r="D136" s="10"/>
      <c r="E136" s="11"/>
      <c r="F136" s="8" t="str">
        <f>IF(COUNTIF($K$30:$K$41, B136)&gt;0, "Básico", IF(COUNTIF($L$30:$L$71, B136)&gt;0, "Intermedio", IF(COUNTIF('Capacidad instalada 2024'!$M$30:$M$73, B136)&gt;0, "Final", "No encontrado")))</f>
        <v>Final</v>
      </c>
      <c r="G136" s="8"/>
      <c r="H136" s="12"/>
      <c r="I136" s="8"/>
    </row>
    <row r="137" spans="2:9" ht="15.75" customHeight="1" x14ac:dyDescent="0.25">
      <c r="B137" s="8" t="s">
        <v>278</v>
      </c>
      <c r="C137" s="9" t="s">
        <v>106</v>
      </c>
      <c r="D137" s="10" t="s">
        <v>67</v>
      </c>
      <c r="E137" s="11" t="s">
        <v>39</v>
      </c>
      <c r="F137" s="8" t="str">
        <f>IF(COUNTIF($K$30:$K$41, B137)&gt;0, "Básico", IF(COUNTIF($L$30:$L$71, B137)&gt;0, "Intermedio", IF(COUNTIF('Capacidad instalada 2024'!$M$30:$M$73, B137)&gt;0, "Final", "No encontrado")))</f>
        <v>No encontrado</v>
      </c>
      <c r="G137" s="8"/>
      <c r="H137" s="12">
        <v>155000</v>
      </c>
      <c r="I137" s="8"/>
    </row>
    <row r="138" spans="2:9" ht="15.75" customHeight="1" x14ac:dyDescent="0.25">
      <c r="B138" s="8" t="s">
        <v>278</v>
      </c>
      <c r="C138" s="9" t="s">
        <v>81</v>
      </c>
      <c r="D138" s="10" t="s">
        <v>48</v>
      </c>
      <c r="E138" s="11" t="s">
        <v>25</v>
      </c>
      <c r="F138" s="8" t="str">
        <f>IF(COUNTIF($K$30:$K$41, B138)&gt;0, "Básico", IF(COUNTIF($L$30:$L$71, B138)&gt;0, "Intermedio", IF(COUNTIF('Capacidad instalada 2024'!$M$30:$M$73, B138)&gt;0, "Final", "No encontrado")))</f>
        <v>No encontrado</v>
      </c>
      <c r="G138" s="8"/>
      <c r="H138" s="12">
        <v>526000</v>
      </c>
      <c r="I138" s="8"/>
    </row>
    <row r="139" spans="2:9" ht="15.75" customHeight="1" x14ac:dyDescent="0.25">
      <c r="B139" s="8" t="s">
        <v>279</v>
      </c>
      <c r="C139" s="9"/>
      <c r="D139" s="10"/>
      <c r="E139" s="11"/>
      <c r="F139" s="8" t="str">
        <f>IF(COUNTIF($K$30:$K$41, B139)&gt;0, "Básico", IF(COUNTIF($L$30:$L$71, B139)&gt;0, "Intermedio", IF(COUNTIF('Capacidad instalada 2024'!$M$30:$M$73, B139)&gt;0, "Final", "No encontrado")))</f>
        <v>Final</v>
      </c>
      <c r="G139" s="8"/>
      <c r="H139" s="12"/>
      <c r="I139" s="8"/>
    </row>
    <row r="140" spans="2:9" ht="15.75" customHeight="1" x14ac:dyDescent="0.25">
      <c r="B140" s="8" t="s">
        <v>280</v>
      </c>
      <c r="C140" s="9" t="s">
        <v>281</v>
      </c>
      <c r="D140" s="10" t="s">
        <v>71</v>
      </c>
      <c r="E140" s="11" t="s">
        <v>39</v>
      </c>
      <c r="F140" s="8" t="str">
        <f>IF(COUNTIF($K$30:$K$41, B140)&gt;0, "Básico", IF(COUNTIF($L$30:$L$71, B140)&gt;0, "Intermedio", IF(COUNTIF('Capacidad instalada 2024'!$M$30:$M$73, B140)&gt;0, "Final", "No encontrado")))</f>
        <v>Básico</v>
      </c>
      <c r="G140" s="8"/>
      <c r="H140" s="12">
        <v>17000</v>
      </c>
      <c r="I140" s="8"/>
    </row>
    <row r="141" spans="2:9" ht="15.75" customHeight="1" x14ac:dyDescent="0.25">
      <c r="B141" s="8" t="s">
        <v>282</v>
      </c>
      <c r="C141" s="9"/>
      <c r="D141" s="10"/>
      <c r="E141" s="11"/>
      <c r="F141" s="8" t="str">
        <f>IF(COUNTIF($K$30:$K$41, B141)&gt;0, "Básico", IF(COUNTIF($L$30:$L$71, B141)&gt;0, "Intermedio", IF(COUNTIF('Capacidad instalada 2024'!$M$30:$M$73, B141)&gt;0, "Final", "No encontrado")))</f>
        <v>Final</v>
      </c>
      <c r="G141" s="8"/>
      <c r="H141" s="12"/>
      <c r="I141" s="8"/>
    </row>
    <row r="142" spans="2:9" ht="15.75" customHeight="1" x14ac:dyDescent="0.25">
      <c r="B142" s="8" t="s">
        <v>283</v>
      </c>
      <c r="C142" s="9" t="s">
        <v>86</v>
      </c>
      <c r="D142" s="10" t="s">
        <v>35</v>
      </c>
      <c r="E142" s="11" t="s">
        <v>25</v>
      </c>
      <c r="F142" s="8" t="str">
        <f>IF(COUNTIF($K$30:$K$41, B142)&gt;0, "Básico", IF(COUNTIF($L$30:$L$71, B142)&gt;0, "Intermedio", IF(COUNTIF('Capacidad instalada 2024'!$M$30:$M$73, B142)&gt;0, "Final", "No encontrado")))</f>
        <v>No encontrado</v>
      </c>
      <c r="G142" s="8"/>
      <c r="H142" s="12">
        <v>132000</v>
      </c>
      <c r="I142" s="8"/>
    </row>
    <row r="143" spans="2:9" ht="15.75" customHeight="1" x14ac:dyDescent="0.25">
      <c r="B143" s="8" t="s">
        <v>284</v>
      </c>
      <c r="C143" s="9" t="s">
        <v>106</v>
      </c>
      <c r="D143" s="10" t="s">
        <v>67</v>
      </c>
      <c r="E143" s="11" t="s">
        <v>39</v>
      </c>
      <c r="F143" s="8" t="str">
        <f>IF(COUNTIF($K$30:$K$41, B143)&gt;0, "Básico", IF(COUNTIF($L$30:$L$71, B143)&gt;0, "Intermedio", IF(COUNTIF('Capacidad instalada 2024'!$M$30:$M$73, B143)&gt;0, "Final", "No encontrado")))</f>
        <v>Básico</v>
      </c>
      <c r="G143" s="8"/>
      <c r="H143" s="12"/>
      <c r="I143" s="8"/>
    </row>
    <row r="144" spans="2:9" ht="15.75" customHeight="1" x14ac:dyDescent="0.25">
      <c r="B144" s="8" t="s">
        <v>284</v>
      </c>
      <c r="C144" s="9" t="s">
        <v>81</v>
      </c>
      <c r="D144" s="10" t="s">
        <v>48</v>
      </c>
      <c r="E144" s="11" t="s">
        <v>25</v>
      </c>
      <c r="F144" s="8" t="str">
        <f>IF(COUNTIF($K$30:$K$41, B144)&gt;0, "Básico", IF(COUNTIF($L$30:$L$71, B144)&gt;0, "Intermedio", IF(COUNTIF('Capacidad instalada 2024'!$M$30:$M$73, B144)&gt;0, "Final", "No encontrado")))</f>
        <v>Básico</v>
      </c>
      <c r="G144" s="8"/>
      <c r="H144" s="12"/>
      <c r="I144" s="8"/>
    </row>
    <row r="145" spans="2:9" ht="15.75" customHeight="1" x14ac:dyDescent="0.25">
      <c r="B145" s="8" t="s">
        <v>285</v>
      </c>
      <c r="C145" s="9"/>
      <c r="D145" s="10"/>
      <c r="E145" s="11"/>
      <c r="F145" s="8" t="str">
        <f>IF(COUNTIF($K$30:$K$41, B145)&gt;0, "Básico", IF(COUNTIF($L$30:$L$71, B145)&gt;0, "Intermedio", IF(COUNTIF('Capacidad instalada 2024'!$M$30:$M$73, B145)&gt;0, "Final", "No encontrado")))</f>
        <v>Final</v>
      </c>
      <c r="G145" s="8"/>
      <c r="H145" s="12"/>
      <c r="I145" s="8"/>
    </row>
    <row r="146" spans="2:9" ht="15.75" customHeight="1" x14ac:dyDescent="0.25">
      <c r="B146" s="8" t="s">
        <v>219</v>
      </c>
      <c r="C146" s="9"/>
      <c r="D146" s="10"/>
      <c r="E146" s="11"/>
      <c r="F146" s="8" t="str">
        <f>IF(COUNTIF($K$30:$K$41, B146)&gt;0, "Básico", IF(COUNTIF($L$30:$L$71, B146)&gt;0, "Intermedio", IF(COUNTIF('Capacidad instalada 2024'!$M$30:$M$73, B146)&gt;0, "Final", "No encontrado")))</f>
        <v>Final</v>
      </c>
      <c r="G146" s="8"/>
      <c r="H146" s="12"/>
      <c r="I146" s="8"/>
    </row>
    <row r="147" spans="2:9" ht="15.75" customHeight="1" x14ac:dyDescent="0.25">
      <c r="B147" s="8" t="s">
        <v>286</v>
      </c>
      <c r="C147" s="9"/>
      <c r="D147" s="10"/>
      <c r="E147" s="11"/>
      <c r="F147" s="8" t="str">
        <f>IF(COUNTIF($K$30:$K$41, B147)&gt;0, "Básico", IF(COUNTIF($L$30:$L$71, B147)&gt;0, "Intermedio", IF(COUNTIF('Capacidad instalada 2024'!$M$30:$M$73, B147)&gt;0, "Final", "No encontrado")))</f>
        <v>No encontrado</v>
      </c>
      <c r="G147" s="8"/>
      <c r="H147" s="12"/>
      <c r="I147" s="8"/>
    </row>
    <row r="148" spans="2:9" ht="15.75" customHeight="1" x14ac:dyDescent="0.25">
      <c r="B148" s="8" t="s">
        <v>287</v>
      </c>
      <c r="C148" s="9" t="s">
        <v>89</v>
      </c>
      <c r="D148" s="10" t="s">
        <v>24</v>
      </c>
      <c r="E148" s="11" t="s">
        <v>25</v>
      </c>
      <c r="F148" s="8" t="str">
        <f>IF(COUNTIF($K$30:$K$41, B148)&gt;0, "Básico", IF(COUNTIF($L$30:$L$71, B148)&gt;0, "Intermedio", IF(COUNTIF('Capacidad instalada 2024'!$M$30:$M$73, B148)&gt;0, "Final", "No encontrado")))</f>
        <v>Final</v>
      </c>
      <c r="G148" s="8"/>
      <c r="H148" s="12">
        <v>1320000</v>
      </c>
      <c r="I148" s="8"/>
    </row>
    <row r="149" spans="2:9" ht="15.75" customHeight="1" x14ac:dyDescent="0.25">
      <c r="B149" s="8" t="s">
        <v>288</v>
      </c>
      <c r="C149" s="9" t="s">
        <v>81</v>
      </c>
      <c r="D149" s="10" t="s">
        <v>48</v>
      </c>
      <c r="E149" s="11" t="s">
        <v>25</v>
      </c>
      <c r="F149" s="8" t="str">
        <f>IF(COUNTIF($K$30:$K$41, B149)&gt;0, "Básico", IF(COUNTIF($L$30:$L$71, B149)&gt;0, "Intermedio", IF(COUNTIF('Capacidad instalada 2024'!$M$30:$M$73, B149)&gt;0, "Final", "No encontrado")))</f>
        <v>Básico</v>
      </c>
      <c r="G149" s="8"/>
      <c r="H149" s="12">
        <v>25000</v>
      </c>
      <c r="I149" s="8"/>
    </row>
    <row r="150" spans="2:9" ht="15.75" customHeight="1" x14ac:dyDescent="0.25">
      <c r="B150" s="8" t="s">
        <v>289</v>
      </c>
      <c r="C150" s="9" t="s">
        <v>106</v>
      </c>
      <c r="D150" s="10" t="s">
        <v>67</v>
      </c>
      <c r="E150" s="11" t="s">
        <v>39</v>
      </c>
      <c r="F150" s="8" t="str">
        <f>IF(COUNTIF($K$30:$K$41, B150)&gt;0, "Básico", IF(COUNTIF($L$30:$L$71, B150)&gt;0, "Intermedio", IF(COUNTIF('Capacidad instalada 2024'!$M$30:$M$73, B150)&gt;0, "Final", "No encontrado")))</f>
        <v>Básico</v>
      </c>
      <c r="G150" s="8"/>
      <c r="H150" s="12"/>
      <c r="I150" s="8"/>
    </row>
    <row r="151" spans="2:9" ht="15.75" customHeight="1" x14ac:dyDescent="0.25">
      <c r="B151" s="8" t="s">
        <v>289</v>
      </c>
      <c r="C151" s="9" t="s">
        <v>81</v>
      </c>
      <c r="D151" s="10" t="s">
        <v>48</v>
      </c>
      <c r="E151" s="11" t="s">
        <v>25</v>
      </c>
      <c r="F151" s="8" t="str">
        <f>IF(COUNTIF($K$30:$K$41, B151)&gt;0, "Básico", IF(COUNTIF($L$30:$L$71, B151)&gt;0, "Intermedio", IF(COUNTIF('Capacidad instalada 2024'!$M$30:$M$73, B151)&gt;0, "Final", "No encontrado")))</f>
        <v>Básico</v>
      </c>
      <c r="G151" s="8"/>
      <c r="H151" s="12"/>
      <c r="I151" s="8"/>
    </row>
    <row r="152" spans="2:9" ht="15.75" customHeight="1" x14ac:dyDescent="0.25">
      <c r="B152" s="8" t="s">
        <v>7</v>
      </c>
      <c r="C152" s="19">
        <f t="array" aca="1" ref="C152" ca="1">COUNTA(_xludf.UNIQUE(_xlws.FILTER(C4:C151,C4:C151&lt;&gt;"")))</f>
        <v>1</v>
      </c>
      <c r="D152" s="19">
        <f t="array" aca="1" ref="D152" ca="1">COUNTA(_xludf.UNIQUE(_xlws.FILTER(D4:D151,D4:D151&lt;&gt;"")))</f>
        <v>1</v>
      </c>
      <c r="E152" s="19">
        <f t="array" aca="1" ref="E152" ca="1">COUNTA(_xludf.UNIQUE(_xlws.FILTER(E4:E151,E4:E151&lt;&gt;"")))</f>
        <v>1</v>
      </c>
      <c r="F152" s="19">
        <f t="array" aca="1" ref="F152" ca="1">COUNTA(_xludf.UNIQUE(_xlws.FILTER(F4:F151,F4:F151&lt;&gt;"")))</f>
        <v>1</v>
      </c>
      <c r="G152" s="19">
        <f t="array" aca="1" ref="G152" ca="1">COUNTA(_xludf.UNIQUE(_xlws.FILTER(G4:G151,G4:G151&lt;&gt;"")))</f>
        <v>1</v>
      </c>
      <c r="H152" s="19">
        <f t="array" aca="1" ref="H152" ca="1">COUNTA(_xludf.UNIQUE(_xlws.FILTER(H4:H151,H4:H151&lt;&gt;"")))</f>
        <v>1</v>
      </c>
      <c r="I152" s="19">
        <f t="array" aca="1" ref="I152" ca="1">COUNTA(_xludf.UNIQUE(_xlws.FILTER(I4:I151,I4:I151&lt;&gt;"")))</f>
        <v>1</v>
      </c>
    </row>
    <row r="153" spans="2:9" ht="15.75" customHeight="1" x14ac:dyDescent="0.25">
      <c r="C153" s="2"/>
      <c r="H153" s="2"/>
    </row>
    <row r="154" spans="2:9" ht="15.75" customHeight="1" x14ac:dyDescent="0.25">
      <c r="C154" s="2"/>
      <c r="H154" s="2"/>
    </row>
    <row r="155" spans="2:9" ht="15.75" customHeight="1" x14ac:dyDescent="0.25">
      <c r="C155" s="2"/>
      <c r="H155" s="2"/>
    </row>
    <row r="156" spans="2:9" ht="15.75" customHeight="1" x14ac:dyDescent="0.25">
      <c r="C156" s="2"/>
      <c r="H156" s="2"/>
    </row>
    <row r="157" spans="2:9" ht="15.75" customHeight="1" x14ac:dyDescent="0.25">
      <c r="C157" s="2"/>
      <c r="H157" s="2"/>
    </row>
    <row r="158" spans="2:9" ht="15.75" customHeight="1" x14ac:dyDescent="0.25">
      <c r="C158" s="2"/>
      <c r="H158" s="2"/>
    </row>
    <row r="159" spans="2:9" ht="15.75" customHeight="1" x14ac:dyDescent="0.25">
      <c r="C159" s="2"/>
      <c r="H159" s="2"/>
    </row>
    <row r="160" spans="2:9" ht="15.75" customHeight="1" x14ac:dyDescent="0.25">
      <c r="C160" s="2"/>
      <c r="H160" s="2"/>
    </row>
    <row r="161" spans="3:8" ht="15.75" customHeight="1" x14ac:dyDescent="0.25">
      <c r="C161" s="2"/>
      <c r="H161" s="2"/>
    </row>
    <row r="162" spans="3:8" ht="15.75" customHeight="1" x14ac:dyDescent="0.25">
      <c r="C162" s="2"/>
      <c r="H162" s="2"/>
    </row>
    <row r="163" spans="3:8" ht="15.75" customHeight="1" x14ac:dyDescent="0.25">
      <c r="C163" s="2"/>
      <c r="H163" s="2"/>
    </row>
    <row r="164" spans="3:8" ht="15.75" customHeight="1" x14ac:dyDescent="0.25">
      <c r="C164" s="2"/>
      <c r="H164" s="2"/>
    </row>
    <row r="165" spans="3:8" ht="15.75" customHeight="1" x14ac:dyDescent="0.25">
      <c r="C165" s="2"/>
      <c r="H165" s="2"/>
    </row>
    <row r="166" spans="3:8" ht="15.75" customHeight="1" x14ac:dyDescent="0.25">
      <c r="C166" s="2"/>
      <c r="H166" s="2"/>
    </row>
    <row r="167" spans="3:8" ht="15.75" customHeight="1" x14ac:dyDescent="0.25">
      <c r="C167" s="2"/>
      <c r="H167" s="2"/>
    </row>
    <row r="168" spans="3:8" ht="15.75" customHeight="1" x14ac:dyDescent="0.25">
      <c r="C168" s="2"/>
      <c r="H168" s="2"/>
    </row>
    <row r="169" spans="3:8" ht="15.75" customHeight="1" x14ac:dyDescent="0.25">
      <c r="C169" s="2"/>
      <c r="H169" s="2"/>
    </row>
    <row r="170" spans="3:8" ht="15.75" customHeight="1" x14ac:dyDescent="0.25">
      <c r="C170" s="2"/>
      <c r="H170" s="2"/>
    </row>
    <row r="171" spans="3:8" ht="15.75" customHeight="1" x14ac:dyDescent="0.25">
      <c r="C171" s="2"/>
      <c r="H171" s="2"/>
    </row>
    <row r="172" spans="3:8" ht="15.75" customHeight="1" x14ac:dyDescent="0.25">
      <c r="C172" s="2"/>
      <c r="H172" s="2"/>
    </row>
    <row r="173" spans="3:8" ht="15.75" customHeight="1" x14ac:dyDescent="0.25">
      <c r="C173" s="2"/>
      <c r="H173" s="2"/>
    </row>
    <row r="174" spans="3:8" ht="15.75" customHeight="1" x14ac:dyDescent="0.25">
      <c r="C174" s="2"/>
      <c r="H174" s="2"/>
    </row>
    <row r="175" spans="3:8" ht="15.75" customHeight="1" x14ac:dyDescent="0.25">
      <c r="C175" s="2"/>
      <c r="H175" s="2"/>
    </row>
    <row r="176" spans="3:8" ht="15.75" customHeight="1" x14ac:dyDescent="0.25">
      <c r="C176" s="2"/>
      <c r="H176" s="2"/>
    </row>
    <row r="177" spans="3:8" ht="15.75" customHeight="1" x14ac:dyDescent="0.25">
      <c r="C177" s="2"/>
      <c r="H177" s="2"/>
    </row>
    <row r="178" spans="3:8" ht="15.75" customHeight="1" x14ac:dyDescent="0.25">
      <c r="C178" s="2"/>
      <c r="H178" s="2"/>
    </row>
    <row r="179" spans="3:8" ht="15.75" customHeight="1" x14ac:dyDescent="0.25">
      <c r="C179" s="2"/>
      <c r="H179" s="2"/>
    </row>
    <row r="180" spans="3:8" ht="15.75" customHeight="1" x14ac:dyDescent="0.25">
      <c r="C180" s="2"/>
      <c r="H180" s="2"/>
    </row>
    <row r="181" spans="3:8" ht="15.75" customHeight="1" x14ac:dyDescent="0.25">
      <c r="C181" s="2"/>
      <c r="H181" s="2"/>
    </row>
    <row r="182" spans="3:8" ht="15.75" customHeight="1" x14ac:dyDescent="0.25">
      <c r="C182" s="2"/>
      <c r="H182" s="2"/>
    </row>
    <row r="183" spans="3:8" ht="15.75" customHeight="1" x14ac:dyDescent="0.25">
      <c r="C183" s="2"/>
      <c r="H183" s="2"/>
    </row>
    <row r="184" spans="3:8" ht="15.75" customHeight="1" x14ac:dyDescent="0.25">
      <c r="C184" s="2"/>
      <c r="H184" s="2"/>
    </row>
    <row r="185" spans="3:8" ht="15.75" customHeight="1" x14ac:dyDescent="0.25">
      <c r="C185" s="2"/>
      <c r="H185" s="2"/>
    </row>
    <row r="186" spans="3:8" ht="15.75" customHeight="1" x14ac:dyDescent="0.25">
      <c r="C186" s="2"/>
      <c r="H186" s="2"/>
    </row>
    <row r="187" spans="3:8" ht="15.75" customHeight="1" x14ac:dyDescent="0.25">
      <c r="C187" s="2"/>
      <c r="H187" s="2"/>
    </row>
    <row r="188" spans="3:8" ht="15.75" customHeight="1" x14ac:dyDescent="0.25">
      <c r="C188" s="2"/>
      <c r="H188" s="2"/>
    </row>
    <row r="189" spans="3:8" ht="15.75" customHeight="1" x14ac:dyDescent="0.25">
      <c r="C189" s="2"/>
      <c r="H189" s="2"/>
    </row>
    <row r="190" spans="3:8" ht="15.75" customHeight="1" x14ac:dyDescent="0.25">
      <c r="C190" s="2"/>
      <c r="H190" s="2"/>
    </row>
    <row r="191" spans="3:8" ht="15.75" customHeight="1" x14ac:dyDescent="0.25">
      <c r="C191" s="2"/>
      <c r="H191" s="2"/>
    </row>
    <row r="192" spans="3:8" ht="15.75" customHeight="1" x14ac:dyDescent="0.25">
      <c r="C192" s="2"/>
      <c r="H192" s="2"/>
    </row>
    <row r="193" spans="3:8" ht="15.75" customHeight="1" x14ac:dyDescent="0.25">
      <c r="C193" s="2"/>
      <c r="H193" s="2"/>
    </row>
    <row r="194" spans="3:8" ht="15.75" customHeight="1" x14ac:dyDescent="0.25">
      <c r="C194" s="2"/>
      <c r="H194" s="2"/>
    </row>
    <row r="195" spans="3:8" ht="15.75" customHeight="1" x14ac:dyDescent="0.25">
      <c r="C195" s="2"/>
      <c r="H195" s="2"/>
    </row>
    <row r="196" spans="3:8" ht="15.75" customHeight="1" x14ac:dyDescent="0.25">
      <c r="C196" s="2"/>
      <c r="H196" s="2"/>
    </row>
    <row r="197" spans="3:8" ht="15.75" customHeight="1" x14ac:dyDescent="0.25">
      <c r="C197" s="2"/>
      <c r="H197" s="2"/>
    </row>
    <row r="198" spans="3:8" ht="15.75" customHeight="1" x14ac:dyDescent="0.25">
      <c r="C198" s="2"/>
      <c r="H198" s="2"/>
    </row>
    <row r="199" spans="3:8" ht="15.75" customHeight="1" x14ac:dyDescent="0.25">
      <c r="C199" s="2"/>
      <c r="H199" s="2"/>
    </row>
    <row r="200" spans="3:8" ht="15.75" customHeight="1" x14ac:dyDescent="0.25">
      <c r="C200" s="2"/>
      <c r="H200" s="2"/>
    </row>
    <row r="201" spans="3:8" ht="15.75" customHeight="1" x14ac:dyDescent="0.25">
      <c r="C201" s="2"/>
      <c r="H201" s="2"/>
    </row>
    <row r="202" spans="3:8" ht="15.75" customHeight="1" x14ac:dyDescent="0.25">
      <c r="C202" s="2"/>
      <c r="H202" s="2"/>
    </row>
    <row r="203" spans="3:8" ht="15.75" customHeight="1" x14ac:dyDescent="0.25">
      <c r="C203" s="2"/>
      <c r="H203" s="2"/>
    </row>
    <row r="204" spans="3:8" ht="15.75" customHeight="1" x14ac:dyDescent="0.25">
      <c r="C204" s="2"/>
      <c r="H204" s="2"/>
    </row>
    <row r="205" spans="3:8" ht="15.75" customHeight="1" x14ac:dyDescent="0.25">
      <c r="C205" s="2"/>
      <c r="H205" s="2"/>
    </row>
    <row r="206" spans="3:8" ht="15.75" customHeight="1" x14ac:dyDescent="0.25">
      <c r="C206" s="2"/>
      <c r="H206" s="2"/>
    </row>
    <row r="207" spans="3:8" ht="15.75" customHeight="1" x14ac:dyDescent="0.25">
      <c r="C207" s="2"/>
      <c r="H207" s="2"/>
    </row>
    <row r="208" spans="3:8" ht="15.75" customHeight="1" x14ac:dyDescent="0.25">
      <c r="C208" s="2"/>
      <c r="H208" s="2"/>
    </row>
    <row r="209" spans="3:8" ht="15.75" customHeight="1" x14ac:dyDescent="0.25">
      <c r="C209" s="2"/>
      <c r="H209" s="2"/>
    </row>
    <row r="210" spans="3:8" ht="15.75" customHeight="1" x14ac:dyDescent="0.25">
      <c r="C210" s="2"/>
      <c r="H210" s="2"/>
    </row>
    <row r="211" spans="3:8" ht="15.75" customHeight="1" x14ac:dyDescent="0.25">
      <c r="C211" s="2"/>
      <c r="H211" s="2"/>
    </row>
    <row r="212" spans="3:8" ht="15.75" customHeight="1" x14ac:dyDescent="0.25">
      <c r="C212" s="2"/>
      <c r="H212" s="2"/>
    </row>
    <row r="213" spans="3:8" ht="15.75" customHeight="1" x14ac:dyDescent="0.25">
      <c r="C213" s="2"/>
      <c r="H213" s="2"/>
    </row>
    <row r="214" spans="3:8" ht="15.75" customHeight="1" x14ac:dyDescent="0.25">
      <c r="C214" s="2"/>
      <c r="H214" s="2"/>
    </row>
    <row r="215" spans="3:8" ht="15.75" customHeight="1" x14ac:dyDescent="0.25">
      <c r="C215" s="2"/>
      <c r="H215" s="2"/>
    </row>
    <row r="216" spans="3:8" ht="15.75" customHeight="1" x14ac:dyDescent="0.25">
      <c r="C216" s="2"/>
      <c r="H216" s="2"/>
    </row>
    <row r="217" spans="3:8" ht="15.75" customHeight="1" x14ac:dyDescent="0.25">
      <c r="C217" s="2"/>
      <c r="H217" s="2"/>
    </row>
    <row r="218" spans="3:8" ht="15.75" customHeight="1" x14ac:dyDescent="0.25">
      <c r="C218" s="2"/>
      <c r="H218" s="2"/>
    </row>
    <row r="219" spans="3:8" ht="15.75" customHeight="1" x14ac:dyDescent="0.25">
      <c r="C219" s="2"/>
      <c r="H219" s="2"/>
    </row>
    <row r="220" spans="3:8" ht="15.75" customHeight="1" x14ac:dyDescent="0.25">
      <c r="C220" s="2"/>
      <c r="H220" s="2"/>
    </row>
    <row r="221" spans="3:8" ht="15.75" customHeight="1" x14ac:dyDescent="0.25">
      <c r="C221" s="2"/>
      <c r="H221" s="2"/>
    </row>
    <row r="222" spans="3:8" ht="15.75" customHeight="1" x14ac:dyDescent="0.25">
      <c r="C222" s="2"/>
      <c r="H222" s="2"/>
    </row>
    <row r="223" spans="3:8" ht="15.75" customHeight="1" x14ac:dyDescent="0.25">
      <c r="C223" s="2"/>
      <c r="H223" s="2"/>
    </row>
    <row r="224" spans="3:8" ht="15.75" customHeight="1" x14ac:dyDescent="0.25">
      <c r="C224" s="2"/>
      <c r="H224" s="2"/>
    </row>
    <row r="225" spans="3:8" ht="15.75" customHeight="1" x14ac:dyDescent="0.25">
      <c r="C225" s="2"/>
      <c r="H225" s="2"/>
    </row>
    <row r="226" spans="3:8" ht="15.75" customHeight="1" x14ac:dyDescent="0.25">
      <c r="C226" s="2"/>
      <c r="H226" s="2"/>
    </row>
    <row r="227" spans="3:8" ht="15.75" customHeight="1" x14ac:dyDescent="0.25">
      <c r="C227" s="2"/>
      <c r="H227" s="2"/>
    </row>
    <row r="228" spans="3:8" ht="15.75" customHeight="1" x14ac:dyDescent="0.25">
      <c r="C228" s="2"/>
      <c r="H228" s="2"/>
    </row>
    <row r="229" spans="3:8" ht="15.75" customHeight="1" x14ac:dyDescent="0.25">
      <c r="C229" s="2"/>
      <c r="H229" s="2"/>
    </row>
    <row r="230" spans="3:8" ht="15.75" customHeight="1" x14ac:dyDescent="0.25">
      <c r="C230" s="2"/>
      <c r="H230" s="2"/>
    </row>
    <row r="231" spans="3:8" ht="15.75" customHeight="1" x14ac:dyDescent="0.25">
      <c r="C231" s="2"/>
      <c r="H231" s="2"/>
    </row>
    <row r="232" spans="3:8" ht="15.75" customHeight="1" x14ac:dyDescent="0.25">
      <c r="C232" s="2"/>
      <c r="H232" s="2"/>
    </row>
    <row r="233" spans="3:8" ht="15.75" customHeight="1" x14ac:dyDescent="0.25">
      <c r="C233" s="2"/>
      <c r="H233" s="2"/>
    </row>
    <row r="234" spans="3:8" ht="15.75" customHeight="1" x14ac:dyDescent="0.25">
      <c r="C234" s="2"/>
      <c r="H234" s="2"/>
    </row>
    <row r="235" spans="3:8" ht="15.75" customHeight="1" x14ac:dyDescent="0.25">
      <c r="C235" s="2"/>
      <c r="H235" s="2"/>
    </row>
    <row r="236" spans="3:8" ht="15.75" customHeight="1" x14ac:dyDescent="0.25">
      <c r="C236" s="2"/>
      <c r="H236" s="2"/>
    </row>
    <row r="237" spans="3:8" ht="15.75" customHeight="1" x14ac:dyDescent="0.25">
      <c r="C237" s="2"/>
      <c r="H237" s="2"/>
    </row>
    <row r="238" spans="3:8" ht="15.75" customHeight="1" x14ac:dyDescent="0.25">
      <c r="C238" s="2"/>
      <c r="H238" s="2"/>
    </row>
    <row r="239" spans="3:8" ht="15.75" customHeight="1" x14ac:dyDescent="0.25">
      <c r="C239" s="2"/>
      <c r="H239" s="2"/>
    </row>
    <row r="240" spans="3:8" ht="15.75" customHeight="1" x14ac:dyDescent="0.25">
      <c r="C240" s="2"/>
      <c r="H240" s="2"/>
    </row>
    <row r="241" spans="3:8" ht="15.75" customHeight="1" x14ac:dyDescent="0.25">
      <c r="C241" s="2"/>
      <c r="H241" s="2"/>
    </row>
    <row r="242" spans="3:8" ht="15.75" customHeight="1" x14ac:dyDescent="0.25">
      <c r="C242" s="2"/>
      <c r="H242" s="2"/>
    </row>
    <row r="243" spans="3:8" ht="15.75" customHeight="1" x14ac:dyDescent="0.25">
      <c r="C243" s="2"/>
      <c r="H243" s="2"/>
    </row>
    <row r="244" spans="3:8" ht="15.75" customHeight="1" x14ac:dyDescent="0.25">
      <c r="C244" s="2"/>
      <c r="H244" s="2"/>
    </row>
    <row r="245" spans="3:8" ht="15.75" customHeight="1" x14ac:dyDescent="0.25">
      <c r="C245" s="2"/>
      <c r="H245" s="2"/>
    </row>
    <row r="246" spans="3:8" ht="15.75" customHeight="1" x14ac:dyDescent="0.25">
      <c r="C246" s="2"/>
      <c r="H246" s="2"/>
    </row>
    <row r="247" spans="3:8" ht="15.75" customHeight="1" x14ac:dyDescent="0.25">
      <c r="C247" s="2"/>
      <c r="H247" s="2"/>
    </row>
    <row r="248" spans="3:8" ht="15.75" customHeight="1" x14ac:dyDescent="0.25">
      <c r="C248" s="2"/>
      <c r="H248" s="2"/>
    </row>
    <row r="249" spans="3:8" ht="15.75" customHeight="1" x14ac:dyDescent="0.25">
      <c r="C249" s="2"/>
      <c r="H249" s="2"/>
    </row>
    <row r="250" spans="3:8" ht="15.75" customHeight="1" x14ac:dyDescent="0.25">
      <c r="C250" s="2"/>
      <c r="H250" s="2"/>
    </row>
    <row r="251" spans="3:8" ht="15.75" customHeight="1" x14ac:dyDescent="0.25">
      <c r="C251" s="2"/>
      <c r="H251" s="2"/>
    </row>
    <row r="252" spans="3:8" ht="15.75" customHeight="1" x14ac:dyDescent="0.25">
      <c r="C252" s="2"/>
      <c r="H252" s="2"/>
    </row>
    <row r="253" spans="3:8" ht="15.75" customHeight="1" x14ac:dyDescent="0.25">
      <c r="C253" s="2"/>
      <c r="H253" s="2"/>
    </row>
    <row r="254" spans="3:8" ht="15.75" customHeight="1" x14ac:dyDescent="0.25">
      <c r="C254" s="2"/>
      <c r="H254" s="2"/>
    </row>
    <row r="255" spans="3:8" ht="15.75" customHeight="1" x14ac:dyDescent="0.25">
      <c r="C255" s="2"/>
      <c r="H255" s="2"/>
    </row>
    <row r="256" spans="3:8" ht="15.75" customHeight="1" x14ac:dyDescent="0.25">
      <c r="C256" s="2"/>
      <c r="H256" s="2"/>
    </row>
    <row r="257" spans="3:8" ht="15.75" customHeight="1" x14ac:dyDescent="0.25">
      <c r="C257" s="2"/>
      <c r="H257" s="2"/>
    </row>
    <row r="258" spans="3:8" ht="15.75" customHeight="1" x14ac:dyDescent="0.25">
      <c r="C258" s="2"/>
      <c r="H258" s="2"/>
    </row>
    <row r="259" spans="3:8" ht="15.75" customHeight="1" x14ac:dyDescent="0.25">
      <c r="C259" s="2"/>
      <c r="H259" s="2"/>
    </row>
    <row r="260" spans="3:8" ht="15.75" customHeight="1" x14ac:dyDescent="0.25">
      <c r="C260" s="2"/>
      <c r="H260" s="2"/>
    </row>
    <row r="261" spans="3:8" ht="15.75" customHeight="1" x14ac:dyDescent="0.25">
      <c r="C261" s="2"/>
      <c r="H261" s="2"/>
    </row>
    <row r="262" spans="3:8" ht="15.75" customHeight="1" x14ac:dyDescent="0.25">
      <c r="C262" s="2"/>
      <c r="H262" s="2"/>
    </row>
    <row r="263" spans="3:8" ht="15.75" customHeight="1" x14ac:dyDescent="0.25">
      <c r="C263" s="2"/>
      <c r="H263" s="2"/>
    </row>
    <row r="264" spans="3:8" ht="15.75" customHeight="1" x14ac:dyDescent="0.25">
      <c r="C264" s="2"/>
      <c r="H264" s="2"/>
    </row>
    <row r="265" spans="3:8" ht="15.75" customHeight="1" x14ac:dyDescent="0.25">
      <c r="C265" s="2"/>
      <c r="H265" s="2"/>
    </row>
    <row r="266" spans="3:8" ht="15.75" customHeight="1" x14ac:dyDescent="0.25">
      <c r="C266" s="2"/>
      <c r="H266" s="2"/>
    </row>
    <row r="267" spans="3:8" ht="15.75" customHeight="1" x14ac:dyDescent="0.25">
      <c r="C267" s="2"/>
      <c r="H267" s="2"/>
    </row>
    <row r="268" spans="3:8" ht="15.75" customHeight="1" x14ac:dyDescent="0.25">
      <c r="C268" s="2"/>
      <c r="H268" s="2"/>
    </row>
    <row r="269" spans="3:8" ht="15.75" customHeight="1" x14ac:dyDescent="0.25">
      <c r="C269" s="2"/>
      <c r="H269" s="2"/>
    </row>
    <row r="270" spans="3:8" ht="15.75" customHeight="1" x14ac:dyDescent="0.25">
      <c r="C270" s="2"/>
      <c r="H270" s="2"/>
    </row>
    <row r="271" spans="3:8" ht="15.75" customHeight="1" x14ac:dyDescent="0.25">
      <c r="C271" s="2"/>
      <c r="H271" s="2"/>
    </row>
    <row r="272" spans="3:8" ht="15.75" customHeight="1" x14ac:dyDescent="0.25">
      <c r="C272" s="2"/>
      <c r="H272" s="2"/>
    </row>
    <row r="273" spans="3:8" ht="15.75" customHeight="1" x14ac:dyDescent="0.25">
      <c r="C273" s="2"/>
      <c r="H273" s="2"/>
    </row>
    <row r="274" spans="3:8" ht="15.75" customHeight="1" x14ac:dyDescent="0.25">
      <c r="C274" s="2"/>
      <c r="H274" s="2"/>
    </row>
    <row r="275" spans="3:8" ht="15.75" customHeight="1" x14ac:dyDescent="0.25">
      <c r="C275" s="2"/>
      <c r="H275" s="2"/>
    </row>
    <row r="276" spans="3:8" ht="15.75" customHeight="1" x14ac:dyDescent="0.25">
      <c r="C276" s="2"/>
      <c r="H276" s="2"/>
    </row>
    <row r="277" spans="3:8" ht="15.75" customHeight="1" x14ac:dyDescent="0.25">
      <c r="C277" s="2"/>
      <c r="H277" s="2"/>
    </row>
    <row r="278" spans="3:8" ht="15.75" customHeight="1" x14ac:dyDescent="0.25">
      <c r="C278" s="2"/>
      <c r="H278" s="2"/>
    </row>
    <row r="279" spans="3:8" ht="15.75" customHeight="1" x14ac:dyDescent="0.25">
      <c r="C279" s="2"/>
      <c r="H279" s="2"/>
    </row>
    <row r="280" spans="3:8" ht="15.75" customHeight="1" x14ac:dyDescent="0.25">
      <c r="C280" s="2"/>
      <c r="H280" s="2"/>
    </row>
    <row r="281" spans="3:8" ht="15.75" customHeight="1" x14ac:dyDescent="0.25">
      <c r="C281" s="2"/>
      <c r="H281" s="2"/>
    </row>
    <row r="282" spans="3:8" ht="15.75" customHeight="1" x14ac:dyDescent="0.25">
      <c r="C282" s="2"/>
      <c r="H282" s="2"/>
    </row>
    <row r="283" spans="3:8" ht="15.75" customHeight="1" x14ac:dyDescent="0.25">
      <c r="C283" s="2"/>
      <c r="H283" s="2"/>
    </row>
    <row r="284" spans="3:8" ht="15.75" customHeight="1" x14ac:dyDescent="0.25">
      <c r="C284" s="2"/>
      <c r="H284" s="2"/>
    </row>
    <row r="285" spans="3:8" ht="15.75" customHeight="1" x14ac:dyDescent="0.25">
      <c r="C285" s="2"/>
      <c r="H285" s="2"/>
    </row>
    <row r="286" spans="3:8" ht="15.75" customHeight="1" x14ac:dyDescent="0.25">
      <c r="C286" s="2"/>
      <c r="H286" s="2"/>
    </row>
    <row r="287" spans="3:8" ht="15.75" customHeight="1" x14ac:dyDescent="0.25">
      <c r="C287" s="2"/>
      <c r="H287" s="2"/>
    </row>
    <row r="288" spans="3:8" ht="15.75" customHeight="1" x14ac:dyDescent="0.25">
      <c r="C288" s="2"/>
      <c r="H288" s="2"/>
    </row>
    <row r="289" spans="3:8" ht="15.75" customHeight="1" x14ac:dyDescent="0.25">
      <c r="C289" s="2"/>
      <c r="H289" s="2"/>
    </row>
    <row r="290" spans="3:8" ht="15.75" customHeight="1" x14ac:dyDescent="0.25">
      <c r="C290" s="2"/>
      <c r="H290" s="2"/>
    </row>
    <row r="291" spans="3:8" ht="15.75" customHeight="1" x14ac:dyDescent="0.25">
      <c r="C291" s="2"/>
      <c r="H291" s="2"/>
    </row>
    <row r="292" spans="3:8" ht="15.75" customHeight="1" x14ac:dyDescent="0.25">
      <c r="C292" s="2"/>
      <c r="H292" s="2"/>
    </row>
    <row r="293" spans="3:8" ht="15.75" customHeight="1" x14ac:dyDescent="0.25">
      <c r="C293" s="2"/>
      <c r="H293" s="2"/>
    </row>
    <row r="294" spans="3:8" ht="15.75" customHeight="1" x14ac:dyDescent="0.25">
      <c r="C294" s="2"/>
      <c r="H294" s="2"/>
    </row>
    <row r="295" spans="3:8" ht="15.75" customHeight="1" x14ac:dyDescent="0.25">
      <c r="C295" s="2"/>
      <c r="H295" s="2"/>
    </row>
    <row r="296" spans="3:8" ht="15.75" customHeight="1" x14ac:dyDescent="0.25">
      <c r="C296" s="2"/>
      <c r="H296" s="2"/>
    </row>
    <row r="297" spans="3:8" ht="15.75" customHeight="1" x14ac:dyDescent="0.25">
      <c r="C297" s="2"/>
      <c r="H297" s="2"/>
    </row>
    <row r="298" spans="3:8" ht="15.75" customHeight="1" x14ac:dyDescent="0.25">
      <c r="C298" s="2"/>
      <c r="H298" s="2"/>
    </row>
    <row r="299" spans="3:8" ht="15.75" customHeight="1" x14ac:dyDescent="0.25">
      <c r="C299" s="2"/>
      <c r="H299" s="2"/>
    </row>
    <row r="300" spans="3:8" ht="15.75" customHeight="1" x14ac:dyDescent="0.25">
      <c r="C300" s="2"/>
      <c r="H300" s="2"/>
    </row>
    <row r="301" spans="3:8" ht="15.75" customHeight="1" x14ac:dyDescent="0.25">
      <c r="C301" s="2"/>
      <c r="H301" s="2"/>
    </row>
    <row r="302" spans="3:8" ht="15.75" customHeight="1" x14ac:dyDescent="0.25">
      <c r="C302" s="2"/>
      <c r="H302" s="2"/>
    </row>
    <row r="303" spans="3:8" ht="15.75" customHeight="1" x14ac:dyDescent="0.25">
      <c r="C303" s="2"/>
      <c r="H303" s="2"/>
    </row>
    <row r="304" spans="3:8" ht="15.75" customHeight="1" x14ac:dyDescent="0.25">
      <c r="C304" s="2"/>
      <c r="H304" s="2"/>
    </row>
    <row r="305" spans="3:8" ht="15.75" customHeight="1" x14ac:dyDescent="0.25">
      <c r="C305" s="2"/>
      <c r="H305" s="2"/>
    </row>
    <row r="306" spans="3:8" ht="15.75" customHeight="1" x14ac:dyDescent="0.25">
      <c r="C306" s="2"/>
      <c r="H306" s="2"/>
    </row>
    <row r="307" spans="3:8" ht="15.75" customHeight="1" x14ac:dyDescent="0.25">
      <c r="C307" s="2"/>
      <c r="H307" s="2"/>
    </row>
    <row r="308" spans="3:8" ht="15.75" customHeight="1" x14ac:dyDescent="0.25">
      <c r="C308" s="2"/>
      <c r="H308" s="2"/>
    </row>
    <row r="309" spans="3:8" ht="15.75" customHeight="1" x14ac:dyDescent="0.25">
      <c r="C309" s="2"/>
      <c r="H309" s="2"/>
    </row>
    <row r="310" spans="3:8" ht="15.75" customHeight="1" x14ac:dyDescent="0.25">
      <c r="C310" s="2"/>
      <c r="H310" s="2"/>
    </row>
    <row r="311" spans="3:8" ht="15.75" customHeight="1" x14ac:dyDescent="0.25">
      <c r="C311" s="2"/>
      <c r="H311" s="2"/>
    </row>
    <row r="312" spans="3:8" ht="15.75" customHeight="1" x14ac:dyDescent="0.25">
      <c r="C312" s="2"/>
      <c r="H312" s="2"/>
    </row>
    <row r="313" spans="3:8" ht="15.75" customHeight="1" x14ac:dyDescent="0.25">
      <c r="C313" s="2"/>
      <c r="H313" s="2"/>
    </row>
    <row r="314" spans="3:8" ht="15.75" customHeight="1" x14ac:dyDescent="0.25">
      <c r="C314" s="2"/>
      <c r="H314" s="2"/>
    </row>
    <row r="315" spans="3:8" ht="15.75" customHeight="1" x14ac:dyDescent="0.25">
      <c r="C315" s="2"/>
      <c r="H315" s="2"/>
    </row>
    <row r="316" spans="3:8" ht="15.75" customHeight="1" x14ac:dyDescent="0.25">
      <c r="C316" s="2"/>
      <c r="H316" s="2"/>
    </row>
    <row r="317" spans="3:8" ht="15.75" customHeight="1" x14ac:dyDescent="0.25">
      <c r="C317" s="2"/>
      <c r="H317" s="2"/>
    </row>
    <row r="318" spans="3:8" ht="15.75" customHeight="1" x14ac:dyDescent="0.25">
      <c r="C318" s="2"/>
      <c r="H318" s="2"/>
    </row>
    <row r="319" spans="3:8" ht="15.75" customHeight="1" x14ac:dyDescent="0.25">
      <c r="C319" s="2"/>
      <c r="H319" s="2"/>
    </row>
    <row r="320" spans="3:8" ht="15.75" customHeight="1" x14ac:dyDescent="0.25">
      <c r="C320" s="2"/>
      <c r="H320" s="2"/>
    </row>
    <row r="321" spans="3:8" ht="15.75" customHeight="1" x14ac:dyDescent="0.25">
      <c r="C321" s="2"/>
      <c r="H321" s="2"/>
    </row>
    <row r="322" spans="3:8" ht="15.75" customHeight="1" x14ac:dyDescent="0.25">
      <c r="C322" s="2"/>
      <c r="H322" s="2"/>
    </row>
    <row r="323" spans="3:8" ht="15.75" customHeight="1" x14ac:dyDescent="0.25">
      <c r="C323" s="2"/>
      <c r="H323" s="2"/>
    </row>
    <row r="324" spans="3:8" ht="15.75" customHeight="1" x14ac:dyDescent="0.25">
      <c r="C324" s="2"/>
      <c r="H324" s="2"/>
    </row>
    <row r="325" spans="3:8" ht="15.75" customHeight="1" x14ac:dyDescent="0.25">
      <c r="C325" s="2"/>
      <c r="H325" s="2"/>
    </row>
    <row r="326" spans="3:8" ht="15.75" customHeight="1" x14ac:dyDescent="0.25">
      <c r="C326" s="2"/>
      <c r="H326" s="2"/>
    </row>
    <row r="327" spans="3:8" ht="15.75" customHeight="1" x14ac:dyDescent="0.25">
      <c r="C327" s="2"/>
      <c r="H327" s="2"/>
    </row>
    <row r="328" spans="3:8" ht="15.75" customHeight="1" x14ac:dyDescent="0.25">
      <c r="C328" s="2"/>
      <c r="H328" s="2"/>
    </row>
    <row r="329" spans="3:8" ht="15.75" customHeight="1" x14ac:dyDescent="0.25">
      <c r="C329" s="2"/>
      <c r="H329" s="2"/>
    </row>
    <row r="330" spans="3:8" ht="15.75" customHeight="1" x14ac:dyDescent="0.25">
      <c r="C330" s="2"/>
      <c r="H330" s="2"/>
    </row>
    <row r="331" spans="3:8" ht="15.75" customHeight="1" x14ac:dyDescent="0.25">
      <c r="C331" s="2"/>
      <c r="H331" s="2"/>
    </row>
    <row r="332" spans="3:8" ht="15.75" customHeight="1" x14ac:dyDescent="0.25">
      <c r="C332" s="2"/>
      <c r="H332" s="2"/>
    </row>
    <row r="333" spans="3:8" ht="15.75" customHeight="1" x14ac:dyDescent="0.25">
      <c r="C333" s="2"/>
      <c r="H333" s="2"/>
    </row>
    <row r="334" spans="3:8" ht="15.75" customHeight="1" x14ac:dyDescent="0.25">
      <c r="C334" s="2"/>
      <c r="H334" s="2"/>
    </row>
    <row r="335" spans="3:8" ht="15.75" customHeight="1" x14ac:dyDescent="0.25">
      <c r="C335" s="2"/>
      <c r="H335" s="2"/>
    </row>
    <row r="336" spans="3:8" ht="15.75" customHeight="1" x14ac:dyDescent="0.25">
      <c r="C336" s="2"/>
      <c r="H336" s="2"/>
    </row>
    <row r="337" spans="3:8" ht="15.75" customHeight="1" x14ac:dyDescent="0.25">
      <c r="C337" s="2"/>
      <c r="H337" s="2"/>
    </row>
    <row r="338" spans="3:8" ht="15.75" customHeight="1" x14ac:dyDescent="0.25">
      <c r="C338" s="2"/>
      <c r="H338" s="2"/>
    </row>
    <row r="339" spans="3:8" ht="15.75" customHeight="1" x14ac:dyDescent="0.25">
      <c r="C339" s="2"/>
      <c r="H339" s="2"/>
    </row>
    <row r="340" spans="3:8" ht="15.75" customHeight="1" x14ac:dyDescent="0.25">
      <c r="C340" s="2"/>
      <c r="H340" s="2"/>
    </row>
    <row r="341" spans="3:8" ht="15.75" customHeight="1" x14ac:dyDescent="0.25">
      <c r="C341" s="2"/>
      <c r="H341" s="2"/>
    </row>
    <row r="342" spans="3:8" ht="15.75" customHeight="1" x14ac:dyDescent="0.25">
      <c r="C342" s="2"/>
      <c r="H342" s="2"/>
    </row>
    <row r="343" spans="3:8" ht="15.75" customHeight="1" x14ac:dyDescent="0.25">
      <c r="C343" s="2"/>
      <c r="H343" s="2"/>
    </row>
    <row r="344" spans="3:8" ht="15.75" customHeight="1" x14ac:dyDescent="0.25">
      <c r="C344" s="2"/>
      <c r="H344" s="2"/>
    </row>
    <row r="345" spans="3:8" ht="15.75" customHeight="1" x14ac:dyDescent="0.25">
      <c r="C345" s="2"/>
      <c r="H345" s="2"/>
    </row>
    <row r="346" spans="3:8" ht="15.75" customHeight="1" x14ac:dyDescent="0.25">
      <c r="C346" s="2"/>
      <c r="H346" s="2"/>
    </row>
    <row r="347" spans="3:8" ht="15.75" customHeight="1" x14ac:dyDescent="0.25">
      <c r="C347" s="2"/>
      <c r="H347" s="2"/>
    </row>
    <row r="348" spans="3:8" ht="15.75" customHeight="1" x14ac:dyDescent="0.25">
      <c r="C348" s="2"/>
      <c r="H348" s="2"/>
    </row>
    <row r="349" spans="3:8" ht="15.75" customHeight="1" x14ac:dyDescent="0.25">
      <c r="C349" s="2"/>
      <c r="H349" s="2"/>
    </row>
    <row r="350" spans="3:8" ht="15.75" customHeight="1" x14ac:dyDescent="0.25">
      <c r="C350" s="2"/>
      <c r="H350" s="2"/>
    </row>
    <row r="351" spans="3:8" ht="15.75" customHeight="1" x14ac:dyDescent="0.25">
      <c r="C351" s="2"/>
      <c r="H351" s="2"/>
    </row>
    <row r="352" spans="3:8" ht="15.75" customHeight="1" x14ac:dyDescent="0.25">
      <c r="C352" s="2"/>
      <c r="H352" s="2"/>
    </row>
    <row r="353" spans="3:8" ht="15.75" customHeight="1" x14ac:dyDescent="0.25">
      <c r="C353" s="2"/>
      <c r="H353" s="2"/>
    </row>
    <row r="354" spans="3:8" ht="15.75" customHeight="1" x14ac:dyDescent="0.25">
      <c r="C354" s="2"/>
      <c r="H354" s="2"/>
    </row>
    <row r="355" spans="3:8" ht="15.75" customHeight="1" x14ac:dyDescent="0.25">
      <c r="C355" s="2"/>
      <c r="H355" s="2"/>
    </row>
    <row r="356" spans="3:8" ht="15.75" customHeight="1" x14ac:dyDescent="0.25">
      <c r="C356" s="2"/>
      <c r="H356" s="2"/>
    </row>
    <row r="357" spans="3:8" ht="15.75" customHeight="1" x14ac:dyDescent="0.25">
      <c r="C357" s="2"/>
      <c r="H357" s="2"/>
    </row>
    <row r="358" spans="3:8" ht="15.75" customHeight="1" x14ac:dyDescent="0.25">
      <c r="C358" s="2"/>
      <c r="H358" s="2"/>
    </row>
    <row r="359" spans="3:8" ht="15.75" customHeight="1" x14ac:dyDescent="0.25">
      <c r="C359" s="2"/>
      <c r="H359" s="2"/>
    </row>
    <row r="360" spans="3:8" ht="15.75" customHeight="1" x14ac:dyDescent="0.25">
      <c r="C360" s="2"/>
      <c r="H360" s="2"/>
    </row>
    <row r="361" spans="3:8" ht="15.75" customHeight="1" x14ac:dyDescent="0.25">
      <c r="C361" s="2"/>
      <c r="H361" s="2"/>
    </row>
    <row r="362" spans="3:8" ht="15.75" customHeight="1" x14ac:dyDescent="0.25">
      <c r="C362" s="2"/>
      <c r="H362" s="2"/>
    </row>
    <row r="363" spans="3:8" ht="15.75" customHeight="1" x14ac:dyDescent="0.25">
      <c r="C363" s="2"/>
      <c r="H363" s="2"/>
    </row>
    <row r="364" spans="3:8" ht="15.75" customHeight="1" x14ac:dyDescent="0.25">
      <c r="C364" s="2"/>
      <c r="H364" s="2"/>
    </row>
    <row r="365" spans="3:8" ht="15.75" customHeight="1" x14ac:dyDescent="0.25">
      <c r="C365" s="2"/>
      <c r="H365" s="2"/>
    </row>
    <row r="366" spans="3:8" ht="15.75" customHeight="1" x14ac:dyDescent="0.25">
      <c r="C366" s="2"/>
      <c r="H366" s="2"/>
    </row>
    <row r="367" spans="3:8" ht="15.75" customHeight="1" x14ac:dyDescent="0.25">
      <c r="C367" s="2"/>
      <c r="H367" s="2"/>
    </row>
    <row r="368" spans="3:8" ht="15.75" customHeight="1" x14ac:dyDescent="0.25">
      <c r="C368" s="2"/>
      <c r="H368" s="2"/>
    </row>
    <row r="369" spans="3:8" ht="15.75" customHeight="1" x14ac:dyDescent="0.25">
      <c r="C369" s="2"/>
      <c r="H369" s="2"/>
    </row>
    <row r="370" spans="3:8" ht="15.75" customHeight="1" x14ac:dyDescent="0.25">
      <c r="C370" s="2"/>
      <c r="H370" s="2"/>
    </row>
    <row r="371" spans="3:8" ht="15.75" customHeight="1" x14ac:dyDescent="0.25">
      <c r="C371" s="2"/>
      <c r="H371" s="2"/>
    </row>
    <row r="372" spans="3:8" ht="15.75" customHeight="1" x14ac:dyDescent="0.25">
      <c r="C372" s="2"/>
      <c r="H372" s="2"/>
    </row>
    <row r="373" spans="3:8" ht="15.75" customHeight="1" x14ac:dyDescent="0.25">
      <c r="C373" s="2"/>
      <c r="H373" s="2"/>
    </row>
    <row r="374" spans="3:8" ht="15.75" customHeight="1" x14ac:dyDescent="0.25">
      <c r="C374" s="2"/>
      <c r="H374" s="2"/>
    </row>
    <row r="375" spans="3:8" ht="15.75" customHeight="1" x14ac:dyDescent="0.25">
      <c r="C375" s="2"/>
      <c r="H375" s="2"/>
    </row>
    <row r="376" spans="3:8" ht="15.75" customHeight="1" x14ac:dyDescent="0.25">
      <c r="C376" s="2"/>
      <c r="H376" s="2"/>
    </row>
    <row r="377" spans="3:8" ht="15.75" customHeight="1" x14ac:dyDescent="0.25">
      <c r="C377" s="2"/>
      <c r="H377" s="2"/>
    </row>
    <row r="378" spans="3:8" ht="15.75" customHeight="1" x14ac:dyDescent="0.25">
      <c r="C378" s="2"/>
      <c r="H378" s="2"/>
    </row>
    <row r="379" spans="3:8" ht="15.75" customHeight="1" x14ac:dyDescent="0.25">
      <c r="C379" s="2"/>
      <c r="H379" s="2"/>
    </row>
    <row r="380" spans="3:8" ht="15.75" customHeight="1" x14ac:dyDescent="0.25">
      <c r="C380" s="2"/>
      <c r="H380" s="2"/>
    </row>
    <row r="381" spans="3:8" ht="15.75" customHeight="1" x14ac:dyDescent="0.25">
      <c r="C381" s="2"/>
      <c r="H381" s="2"/>
    </row>
    <row r="382" spans="3:8" ht="15.75" customHeight="1" x14ac:dyDescent="0.25">
      <c r="C382" s="2"/>
      <c r="H382" s="2"/>
    </row>
    <row r="383" spans="3:8" ht="15.75" customHeight="1" x14ac:dyDescent="0.25">
      <c r="C383" s="2"/>
      <c r="H383" s="2"/>
    </row>
    <row r="384" spans="3:8" ht="15.75" customHeight="1" x14ac:dyDescent="0.25">
      <c r="C384" s="2"/>
      <c r="H384" s="2"/>
    </row>
    <row r="385" spans="3:8" ht="15.75" customHeight="1" x14ac:dyDescent="0.25">
      <c r="C385" s="2"/>
      <c r="H385" s="2"/>
    </row>
    <row r="386" spans="3:8" ht="15.75" customHeight="1" x14ac:dyDescent="0.25">
      <c r="C386" s="2"/>
      <c r="H386" s="2"/>
    </row>
    <row r="387" spans="3:8" ht="15.75" customHeight="1" x14ac:dyDescent="0.25">
      <c r="C387" s="2"/>
      <c r="H387" s="2"/>
    </row>
    <row r="388" spans="3:8" ht="15.75" customHeight="1" x14ac:dyDescent="0.25">
      <c r="C388" s="2"/>
      <c r="H388" s="2"/>
    </row>
    <row r="389" spans="3:8" ht="15.75" customHeight="1" x14ac:dyDescent="0.25">
      <c r="C389" s="2"/>
      <c r="H389" s="2"/>
    </row>
    <row r="390" spans="3:8" ht="15.75" customHeight="1" x14ac:dyDescent="0.25">
      <c r="C390" s="2"/>
      <c r="H390" s="2"/>
    </row>
    <row r="391" spans="3:8" ht="15.75" customHeight="1" x14ac:dyDescent="0.25">
      <c r="C391" s="2"/>
      <c r="H391" s="2"/>
    </row>
    <row r="392" spans="3:8" ht="15.75" customHeight="1" x14ac:dyDescent="0.25">
      <c r="C392" s="2"/>
      <c r="H392" s="2"/>
    </row>
    <row r="393" spans="3:8" ht="15.75" customHeight="1" x14ac:dyDescent="0.25">
      <c r="C393" s="2"/>
      <c r="H393" s="2"/>
    </row>
    <row r="394" spans="3:8" ht="15.75" customHeight="1" x14ac:dyDescent="0.25">
      <c r="C394" s="2"/>
      <c r="H394" s="2"/>
    </row>
    <row r="395" spans="3:8" ht="15.75" customHeight="1" x14ac:dyDescent="0.25">
      <c r="C395" s="2"/>
      <c r="H395" s="2"/>
    </row>
    <row r="396" spans="3:8" ht="15.75" customHeight="1" x14ac:dyDescent="0.25">
      <c r="C396" s="2"/>
      <c r="H396" s="2"/>
    </row>
    <row r="397" spans="3:8" ht="15.75" customHeight="1" x14ac:dyDescent="0.25">
      <c r="C397" s="2"/>
      <c r="H397" s="2"/>
    </row>
    <row r="398" spans="3:8" ht="15.75" customHeight="1" x14ac:dyDescent="0.25">
      <c r="C398" s="2"/>
      <c r="H398" s="2"/>
    </row>
    <row r="399" spans="3:8" ht="15.75" customHeight="1" x14ac:dyDescent="0.25">
      <c r="C399" s="2"/>
      <c r="H399" s="2"/>
    </row>
    <row r="400" spans="3:8" ht="15.75" customHeight="1" x14ac:dyDescent="0.25">
      <c r="C400" s="2"/>
      <c r="H400" s="2"/>
    </row>
    <row r="401" spans="3:8" ht="15.75" customHeight="1" x14ac:dyDescent="0.25">
      <c r="C401" s="2"/>
      <c r="H401" s="2"/>
    </row>
    <row r="402" spans="3:8" ht="15.75" customHeight="1" x14ac:dyDescent="0.25">
      <c r="C402" s="2"/>
      <c r="H402" s="2"/>
    </row>
    <row r="403" spans="3:8" ht="15.75" customHeight="1" x14ac:dyDescent="0.25">
      <c r="C403" s="2"/>
      <c r="H403" s="2"/>
    </row>
    <row r="404" spans="3:8" ht="15.75" customHeight="1" x14ac:dyDescent="0.25">
      <c r="C404" s="2"/>
      <c r="H404" s="2"/>
    </row>
    <row r="405" spans="3:8" ht="15.75" customHeight="1" x14ac:dyDescent="0.25">
      <c r="C405" s="2"/>
      <c r="H405" s="2"/>
    </row>
    <row r="406" spans="3:8" ht="15.75" customHeight="1" x14ac:dyDescent="0.25">
      <c r="C406" s="2"/>
      <c r="H406" s="2"/>
    </row>
    <row r="407" spans="3:8" ht="15.75" customHeight="1" x14ac:dyDescent="0.25">
      <c r="C407" s="2"/>
      <c r="H407" s="2"/>
    </row>
    <row r="408" spans="3:8" ht="15.75" customHeight="1" x14ac:dyDescent="0.25">
      <c r="C408" s="2"/>
      <c r="H408" s="2"/>
    </row>
    <row r="409" spans="3:8" ht="15.75" customHeight="1" x14ac:dyDescent="0.25">
      <c r="C409" s="2"/>
      <c r="H409" s="2"/>
    </row>
    <row r="410" spans="3:8" ht="15.75" customHeight="1" x14ac:dyDescent="0.25">
      <c r="C410" s="2"/>
      <c r="H410" s="2"/>
    </row>
    <row r="411" spans="3:8" ht="15.75" customHeight="1" x14ac:dyDescent="0.25">
      <c r="C411" s="2"/>
      <c r="H411" s="2"/>
    </row>
    <row r="412" spans="3:8" ht="15.75" customHeight="1" x14ac:dyDescent="0.25">
      <c r="C412" s="2"/>
      <c r="H412" s="2"/>
    </row>
    <row r="413" spans="3:8" ht="15.75" customHeight="1" x14ac:dyDescent="0.25">
      <c r="C413" s="2"/>
      <c r="H413" s="2"/>
    </row>
    <row r="414" spans="3:8" ht="15.75" customHeight="1" x14ac:dyDescent="0.25">
      <c r="C414" s="2"/>
      <c r="H414" s="2"/>
    </row>
    <row r="415" spans="3:8" ht="15.75" customHeight="1" x14ac:dyDescent="0.25">
      <c r="C415" s="2"/>
      <c r="H415" s="2"/>
    </row>
    <row r="416" spans="3:8" ht="15.75" customHeight="1" x14ac:dyDescent="0.25">
      <c r="C416" s="2"/>
      <c r="H416" s="2"/>
    </row>
    <row r="417" spans="3:8" ht="15.75" customHeight="1" x14ac:dyDescent="0.25">
      <c r="C417" s="2"/>
      <c r="H417" s="2"/>
    </row>
    <row r="418" spans="3:8" ht="15.75" customHeight="1" x14ac:dyDescent="0.25">
      <c r="C418" s="2"/>
      <c r="H418" s="2"/>
    </row>
    <row r="419" spans="3:8" ht="15.75" customHeight="1" x14ac:dyDescent="0.25">
      <c r="C419" s="2"/>
      <c r="H419" s="2"/>
    </row>
    <row r="420" spans="3:8" ht="15.75" customHeight="1" x14ac:dyDescent="0.25">
      <c r="C420" s="2"/>
      <c r="H420" s="2"/>
    </row>
    <row r="421" spans="3:8" ht="15.75" customHeight="1" x14ac:dyDescent="0.25">
      <c r="C421" s="2"/>
      <c r="H421" s="2"/>
    </row>
    <row r="422" spans="3:8" ht="15.75" customHeight="1" x14ac:dyDescent="0.25">
      <c r="C422" s="2"/>
      <c r="H422" s="2"/>
    </row>
    <row r="423" spans="3:8" ht="15.75" customHeight="1" x14ac:dyDescent="0.25">
      <c r="C423" s="2"/>
      <c r="H423" s="2"/>
    </row>
    <row r="424" spans="3:8" ht="15.75" customHeight="1" x14ac:dyDescent="0.25">
      <c r="C424" s="2"/>
      <c r="H424" s="2"/>
    </row>
    <row r="425" spans="3:8" ht="15.75" customHeight="1" x14ac:dyDescent="0.25">
      <c r="C425" s="2"/>
      <c r="H425" s="2"/>
    </row>
    <row r="426" spans="3:8" ht="15.75" customHeight="1" x14ac:dyDescent="0.25">
      <c r="C426" s="2"/>
      <c r="H426" s="2"/>
    </row>
    <row r="427" spans="3:8" ht="15.75" customHeight="1" x14ac:dyDescent="0.25">
      <c r="C427" s="2"/>
      <c r="H427" s="2"/>
    </row>
    <row r="428" spans="3:8" ht="15.75" customHeight="1" x14ac:dyDescent="0.25">
      <c r="C428" s="2"/>
      <c r="H428" s="2"/>
    </row>
    <row r="429" spans="3:8" ht="15.75" customHeight="1" x14ac:dyDescent="0.25">
      <c r="C429" s="2"/>
      <c r="H429" s="2"/>
    </row>
    <row r="430" spans="3:8" ht="15.75" customHeight="1" x14ac:dyDescent="0.25">
      <c r="C430" s="2"/>
      <c r="H430" s="2"/>
    </row>
    <row r="431" spans="3:8" ht="15.75" customHeight="1" x14ac:dyDescent="0.25">
      <c r="C431" s="2"/>
      <c r="H431" s="2"/>
    </row>
    <row r="432" spans="3:8" ht="15.75" customHeight="1" x14ac:dyDescent="0.25">
      <c r="C432" s="2"/>
      <c r="H432" s="2"/>
    </row>
    <row r="433" spans="3:8" ht="15.75" customHeight="1" x14ac:dyDescent="0.25">
      <c r="C433" s="2"/>
      <c r="H433" s="2"/>
    </row>
    <row r="434" spans="3:8" ht="15.75" customHeight="1" x14ac:dyDescent="0.25">
      <c r="C434" s="2"/>
      <c r="H434" s="2"/>
    </row>
    <row r="435" spans="3:8" ht="15.75" customHeight="1" x14ac:dyDescent="0.25">
      <c r="C435" s="2"/>
      <c r="H435" s="2"/>
    </row>
    <row r="436" spans="3:8" ht="15.75" customHeight="1" x14ac:dyDescent="0.25">
      <c r="C436" s="2"/>
      <c r="H436" s="2"/>
    </row>
    <row r="437" spans="3:8" ht="15.75" customHeight="1" x14ac:dyDescent="0.25">
      <c r="C437" s="2"/>
      <c r="H437" s="2"/>
    </row>
    <row r="438" spans="3:8" ht="15.75" customHeight="1" x14ac:dyDescent="0.25">
      <c r="C438" s="2"/>
      <c r="H438" s="2"/>
    </row>
    <row r="439" spans="3:8" ht="15.75" customHeight="1" x14ac:dyDescent="0.25">
      <c r="C439" s="2"/>
      <c r="H439" s="2"/>
    </row>
    <row r="440" spans="3:8" ht="15.75" customHeight="1" x14ac:dyDescent="0.25">
      <c r="C440" s="2"/>
      <c r="H440" s="2"/>
    </row>
    <row r="441" spans="3:8" ht="15.75" customHeight="1" x14ac:dyDescent="0.25">
      <c r="C441" s="2"/>
      <c r="H441" s="2"/>
    </row>
    <row r="442" spans="3:8" ht="15.75" customHeight="1" x14ac:dyDescent="0.25">
      <c r="C442" s="2"/>
      <c r="H442" s="2"/>
    </row>
    <row r="443" spans="3:8" ht="15.75" customHeight="1" x14ac:dyDescent="0.25">
      <c r="C443" s="2"/>
      <c r="H443" s="2"/>
    </row>
    <row r="444" spans="3:8" ht="15.75" customHeight="1" x14ac:dyDescent="0.25">
      <c r="C444" s="2"/>
      <c r="H444" s="2"/>
    </row>
    <row r="445" spans="3:8" ht="15.75" customHeight="1" x14ac:dyDescent="0.25">
      <c r="C445" s="2"/>
      <c r="H445" s="2"/>
    </row>
    <row r="446" spans="3:8" ht="15.75" customHeight="1" x14ac:dyDescent="0.25">
      <c r="C446" s="2"/>
      <c r="H446" s="2"/>
    </row>
    <row r="447" spans="3:8" ht="15.75" customHeight="1" x14ac:dyDescent="0.25">
      <c r="C447" s="2"/>
      <c r="H447" s="2"/>
    </row>
    <row r="448" spans="3:8" ht="15.75" customHeight="1" x14ac:dyDescent="0.25">
      <c r="C448" s="2"/>
      <c r="H448" s="2"/>
    </row>
    <row r="449" spans="3:8" ht="15.75" customHeight="1" x14ac:dyDescent="0.25">
      <c r="C449" s="2"/>
      <c r="H449" s="2"/>
    </row>
    <row r="450" spans="3:8" ht="15.75" customHeight="1" x14ac:dyDescent="0.25">
      <c r="C450" s="2"/>
      <c r="H450" s="2"/>
    </row>
    <row r="451" spans="3:8" ht="15.75" customHeight="1" x14ac:dyDescent="0.25">
      <c r="C451" s="2"/>
      <c r="H451" s="2"/>
    </row>
    <row r="452" spans="3:8" ht="15.75" customHeight="1" x14ac:dyDescent="0.25">
      <c r="C452" s="2"/>
      <c r="H452" s="2"/>
    </row>
    <row r="453" spans="3:8" ht="15.75" customHeight="1" x14ac:dyDescent="0.25">
      <c r="C453" s="2"/>
      <c r="H453" s="2"/>
    </row>
    <row r="454" spans="3:8" ht="15.75" customHeight="1" x14ac:dyDescent="0.25">
      <c r="C454" s="2"/>
      <c r="H454" s="2"/>
    </row>
    <row r="455" spans="3:8" ht="15.75" customHeight="1" x14ac:dyDescent="0.25">
      <c r="C455" s="2"/>
      <c r="H455" s="2"/>
    </row>
    <row r="456" spans="3:8" ht="15.75" customHeight="1" x14ac:dyDescent="0.25">
      <c r="C456" s="2"/>
      <c r="H456" s="2"/>
    </row>
    <row r="457" spans="3:8" ht="15.75" customHeight="1" x14ac:dyDescent="0.25">
      <c r="C457" s="2"/>
      <c r="H457" s="2"/>
    </row>
    <row r="458" spans="3:8" ht="15.75" customHeight="1" x14ac:dyDescent="0.25">
      <c r="C458" s="2"/>
      <c r="H458" s="2"/>
    </row>
    <row r="459" spans="3:8" ht="15.75" customHeight="1" x14ac:dyDescent="0.25">
      <c r="C459" s="2"/>
      <c r="H459" s="2"/>
    </row>
    <row r="460" spans="3:8" ht="15.75" customHeight="1" x14ac:dyDescent="0.25">
      <c r="C460" s="2"/>
      <c r="H460" s="2"/>
    </row>
    <row r="461" spans="3:8" ht="15.75" customHeight="1" x14ac:dyDescent="0.25">
      <c r="C461" s="2"/>
      <c r="H461" s="2"/>
    </row>
    <row r="462" spans="3:8" ht="15.75" customHeight="1" x14ac:dyDescent="0.25">
      <c r="C462" s="2"/>
      <c r="H462" s="2"/>
    </row>
    <row r="463" spans="3:8" ht="15.75" customHeight="1" x14ac:dyDescent="0.25">
      <c r="C463" s="2"/>
      <c r="H463" s="2"/>
    </row>
    <row r="464" spans="3:8" ht="15.75" customHeight="1" x14ac:dyDescent="0.25">
      <c r="C464" s="2"/>
      <c r="H464" s="2"/>
    </row>
    <row r="465" spans="3:8" ht="15.75" customHeight="1" x14ac:dyDescent="0.25">
      <c r="C465" s="2"/>
      <c r="H465" s="2"/>
    </row>
    <row r="466" spans="3:8" ht="15.75" customHeight="1" x14ac:dyDescent="0.25">
      <c r="C466" s="2"/>
      <c r="H466" s="2"/>
    </row>
    <row r="467" spans="3:8" ht="15.75" customHeight="1" x14ac:dyDescent="0.25">
      <c r="C467" s="2"/>
      <c r="H467" s="2"/>
    </row>
    <row r="468" spans="3:8" ht="15.75" customHeight="1" x14ac:dyDescent="0.25">
      <c r="C468" s="2"/>
      <c r="H468" s="2"/>
    </row>
    <row r="469" spans="3:8" ht="15.75" customHeight="1" x14ac:dyDescent="0.25">
      <c r="C469" s="2"/>
      <c r="H469" s="2"/>
    </row>
    <row r="470" spans="3:8" ht="15.75" customHeight="1" x14ac:dyDescent="0.25">
      <c r="C470" s="2"/>
      <c r="H470" s="2"/>
    </row>
    <row r="471" spans="3:8" ht="15.75" customHeight="1" x14ac:dyDescent="0.25">
      <c r="C471" s="2"/>
      <c r="H471" s="2"/>
    </row>
    <row r="472" spans="3:8" ht="15.75" customHeight="1" x14ac:dyDescent="0.25">
      <c r="C472" s="2"/>
      <c r="H472" s="2"/>
    </row>
    <row r="473" spans="3:8" ht="15.75" customHeight="1" x14ac:dyDescent="0.25">
      <c r="C473" s="2"/>
      <c r="H473" s="2"/>
    </row>
    <row r="474" spans="3:8" ht="15.75" customHeight="1" x14ac:dyDescent="0.25">
      <c r="C474" s="2"/>
      <c r="H474" s="2"/>
    </row>
    <row r="475" spans="3:8" ht="15.75" customHeight="1" x14ac:dyDescent="0.25">
      <c r="C475" s="2"/>
      <c r="H475" s="2"/>
    </row>
    <row r="476" spans="3:8" ht="15.75" customHeight="1" x14ac:dyDescent="0.25">
      <c r="C476" s="2"/>
      <c r="H476" s="2"/>
    </row>
    <row r="477" spans="3:8" ht="15.75" customHeight="1" x14ac:dyDescent="0.25">
      <c r="C477" s="2"/>
      <c r="H477" s="2"/>
    </row>
    <row r="478" spans="3:8" ht="15.75" customHeight="1" x14ac:dyDescent="0.25">
      <c r="C478" s="2"/>
      <c r="H478" s="2"/>
    </row>
    <row r="479" spans="3:8" ht="15.75" customHeight="1" x14ac:dyDescent="0.25">
      <c r="C479" s="2"/>
      <c r="H479" s="2"/>
    </row>
    <row r="480" spans="3:8" ht="15.75" customHeight="1" x14ac:dyDescent="0.25">
      <c r="C480" s="2"/>
      <c r="H480" s="2"/>
    </row>
    <row r="481" spans="3:8" ht="15.75" customHeight="1" x14ac:dyDescent="0.25">
      <c r="C481" s="2"/>
      <c r="H481" s="2"/>
    </row>
    <row r="482" spans="3:8" ht="15.75" customHeight="1" x14ac:dyDescent="0.25">
      <c r="C482" s="2"/>
      <c r="H482" s="2"/>
    </row>
    <row r="483" spans="3:8" ht="15.75" customHeight="1" x14ac:dyDescent="0.25">
      <c r="C483" s="2"/>
      <c r="H483" s="2"/>
    </row>
    <row r="484" spans="3:8" ht="15.75" customHeight="1" x14ac:dyDescent="0.25">
      <c r="C484" s="2"/>
      <c r="H484" s="2"/>
    </row>
    <row r="485" spans="3:8" ht="15.75" customHeight="1" x14ac:dyDescent="0.25">
      <c r="C485" s="2"/>
      <c r="H485" s="2"/>
    </row>
    <row r="486" spans="3:8" ht="15.75" customHeight="1" x14ac:dyDescent="0.25">
      <c r="C486" s="2"/>
      <c r="H486" s="2"/>
    </row>
    <row r="487" spans="3:8" ht="15.75" customHeight="1" x14ac:dyDescent="0.25">
      <c r="C487" s="2"/>
      <c r="H487" s="2"/>
    </row>
    <row r="488" spans="3:8" ht="15.75" customHeight="1" x14ac:dyDescent="0.25">
      <c r="C488" s="2"/>
      <c r="H488" s="2"/>
    </row>
    <row r="489" spans="3:8" ht="15.75" customHeight="1" x14ac:dyDescent="0.25">
      <c r="C489" s="2"/>
      <c r="H489" s="2"/>
    </row>
    <row r="490" spans="3:8" ht="15.75" customHeight="1" x14ac:dyDescent="0.25">
      <c r="C490" s="2"/>
      <c r="H490" s="2"/>
    </row>
    <row r="491" spans="3:8" ht="15.75" customHeight="1" x14ac:dyDescent="0.25">
      <c r="C491" s="2"/>
      <c r="H491" s="2"/>
    </row>
    <row r="492" spans="3:8" ht="15.75" customHeight="1" x14ac:dyDescent="0.25">
      <c r="C492" s="2"/>
      <c r="H492" s="2"/>
    </row>
    <row r="493" spans="3:8" ht="15.75" customHeight="1" x14ac:dyDescent="0.25">
      <c r="C493" s="2"/>
      <c r="H493" s="2"/>
    </row>
    <row r="494" spans="3:8" ht="15.75" customHeight="1" x14ac:dyDescent="0.25">
      <c r="C494" s="2"/>
      <c r="H494" s="2"/>
    </row>
    <row r="495" spans="3:8" ht="15.75" customHeight="1" x14ac:dyDescent="0.25">
      <c r="C495" s="2"/>
      <c r="H495" s="2"/>
    </row>
    <row r="496" spans="3:8" ht="15.75" customHeight="1" x14ac:dyDescent="0.25">
      <c r="C496" s="2"/>
      <c r="H496" s="2"/>
    </row>
    <row r="497" spans="3:8" ht="15.75" customHeight="1" x14ac:dyDescent="0.25">
      <c r="C497" s="2"/>
      <c r="H497" s="2"/>
    </row>
    <row r="498" spans="3:8" ht="15.75" customHeight="1" x14ac:dyDescent="0.25">
      <c r="C498" s="2"/>
      <c r="H498" s="2"/>
    </row>
    <row r="499" spans="3:8" ht="15.75" customHeight="1" x14ac:dyDescent="0.25">
      <c r="C499" s="2"/>
      <c r="H499" s="2"/>
    </row>
    <row r="500" spans="3:8" ht="15.75" customHeight="1" x14ac:dyDescent="0.25">
      <c r="C500" s="2"/>
      <c r="H500" s="2"/>
    </row>
    <row r="501" spans="3:8" ht="15.75" customHeight="1" x14ac:dyDescent="0.25">
      <c r="C501" s="2"/>
      <c r="H501" s="2"/>
    </row>
    <row r="502" spans="3:8" ht="15.75" customHeight="1" x14ac:dyDescent="0.25">
      <c r="C502" s="2"/>
      <c r="H502" s="2"/>
    </row>
    <row r="503" spans="3:8" ht="15.75" customHeight="1" x14ac:dyDescent="0.25">
      <c r="C503" s="2"/>
      <c r="H503" s="2"/>
    </row>
    <row r="504" spans="3:8" ht="15.75" customHeight="1" x14ac:dyDescent="0.25">
      <c r="C504" s="2"/>
      <c r="H504" s="2"/>
    </row>
    <row r="505" spans="3:8" ht="15.75" customHeight="1" x14ac:dyDescent="0.25">
      <c r="C505" s="2"/>
      <c r="H505" s="2"/>
    </row>
    <row r="506" spans="3:8" ht="15.75" customHeight="1" x14ac:dyDescent="0.25">
      <c r="C506" s="2"/>
      <c r="H506" s="2"/>
    </row>
    <row r="507" spans="3:8" ht="15.75" customHeight="1" x14ac:dyDescent="0.25">
      <c r="C507" s="2"/>
      <c r="H507" s="2"/>
    </row>
    <row r="508" spans="3:8" ht="15.75" customHeight="1" x14ac:dyDescent="0.25">
      <c r="C508" s="2"/>
      <c r="H508" s="2"/>
    </row>
    <row r="509" spans="3:8" ht="15.75" customHeight="1" x14ac:dyDescent="0.25">
      <c r="C509" s="2"/>
      <c r="H509" s="2"/>
    </row>
    <row r="510" spans="3:8" ht="15.75" customHeight="1" x14ac:dyDescent="0.25">
      <c r="C510" s="2"/>
      <c r="H510" s="2"/>
    </row>
    <row r="511" spans="3:8" ht="15.75" customHeight="1" x14ac:dyDescent="0.25">
      <c r="C511" s="2"/>
      <c r="H511" s="2"/>
    </row>
    <row r="512" spans="3:8" ht="15.75" customHeight="1" x14ac:dyDescent="0.25">
      <c r="C512" s="2"/>
      <c r="H512" s="2"/>
    </row>
    <row r="513" spans="3:8" ht="15.75" customHeight="1" x14ac:dyDescent="0.25">
      <c r="C513" s="2"/>
      <c r="H513" s="2"/>
    </row>
    <row r="514" spans="3:8" ht="15.75" customHeight="1" x14ac:dyDescent="0.25">
      <c r="C514" s="2"/>
      <c r="H514" s="2"/>
    </row>
    <row r="515" spans="3:8" ht="15.75" customHeight="1" x14ac:dyDescent="0.25">
      <c r="C515" s="2"/>
      <c r="H515" s="2"/>
    </row>
    <row r="516" spans="3:8" ht="15.75" customHeight="1" x14ac:dyDescent="0.25">
      <c r="C516" s="2"/>
      <c r="H516" s="2"/>
    </row>
    <row r="517" spans="3:8" ht="15.75" customHeight="1" x14ac:dyDescent="0.25">
      <c r="C517" s="2"/>
      <c r="H517" s="2"/>
    </row>
    <row r="518" spans="3:8" ht="15.75" customHeight="1" x14ac:dyDescent="0.25">
      <c r="C518" s="2"/>
      <c r="H518" s="2"/>
    </row>
    <row r="519" spans="3:8" ht="15.75" customHeight="1" x14ac:dyDescent="0.25">
      <c r="C519" s="2"/>
      <c r="H519" s="2"/>
    </row>
    <row r="520" spans="3:8" ht="15.75" customHeight="1" x14ac:dyDescent="0.25">
      <c r="C520" s="2"/>
      <c r="H520" s="2"/>
    </row>
    <row r="521" spans="3:8" ht="15.75" customHeight="1" x14ac:dyDescent="0.25">
      <c r="C521" s="2"/>
      <c r="H521" s="2"/>
    </row>
    <row r="522" spans="3:8" ht="15.75" customHeight="1" x14ac:dyDescent="0.25">
      <c r="C522" s="2"/>
      <c r="H522" s="2"/>
    </row>
    <row r="523" spans="3:8" ht="15.75" customHeight="1" x14ac:dyDescent="0.25">
      <c r="C523" s="2"/>
      <c r="H523" s="2"/>
    </row>
    <row r="524" spans="3:8" ht="15.75" customHeight="1" x14ac:dyDescent="0.25">
      <c r="C524" s="2"/>
      <c r="H524" s="2"/>
    </row>
    <row r="525" spans="3:8" ht="15.75" customHeight="1" x14ac:dyDescent="0.25">
      <c r="C525" s="2"/>
      <c r="H525" s="2"/>
    </row>
    <row r="526" spans="3:8" ht="15.75" customHeight="1" x14ac:dyDescent="0.25">
      <c r="C526" s="2"/>
      <c r="H526" s="2"/>
    </row>
    <row r="527" spans="3:8" ht="15.75" customHeight="1" x14ac:dyDescent="0.25">
      <c r="C527" s="2"/>
      <c r="H527" s="2"/>
    </row>
    <row r="528" spans="3:8" ht="15.75" customHeight="1" x14ac:dyDescent="0.25">
      <c r="C528" s="2"/>
      <c r="H528" s="2"/>
    </row>
    <row r="529" spans="3:8" ht="15.75" customHeight="1" x14ac:dyDescent="0.25">
      <c r="C529" s="2"/>
      <c r="H529" s="2"/>
    </row>
    <row r="530" spans="3:8" ht="15.75" customHeight="1" x14ac:dyDescent="0.25">
      <c r="C530" s="2"/>
      <c r="H530" s="2"/>
    </row>
    <row r="531" spans="3:8" ht="15.75" customHeight="1" x14ac:dyDescent="0.25">
      <c r="C531" s="2"/>
      <c r="H531" s="2"/>
    </row>
    <row r="532" spans="3:8" ht="15.75" customHeight="1" x14ac:dyDescent="0.25">
      <c r="C532" s="2"/>
      <c r="H532" s="2"/>
    </row>
    <row r="533" spans="3:8" ht="15.75" customHeight="1" x14ac:dyDescent="0.25">
      <c r="C533" s="2"/>
      <c r="H533" s="2"/>
    </row>
    <row r="534" spans="3:8" ht="15.75" customHeight="1" x14ac:dyDescent="0.25">
      <c r="C534" s="2"/>
      <c r="H534" s="2"/>
    </row>
    <row r="535" spans="3:8" ht="15.75" customHeight="1" x14ac:dyDescent="0.25">
      <c r="C535" s="2"/>
      <c r="H535" s="2"/>
    </row>
    <row r="536" spans="3:8" ht="15.75" customHeight="1" x14ac:dyDescent="0.25">
      <c r="C536" s="2"/>
      <c r="H536" s="2"/>
    </row>
    <row r="537" spans="3:8" ht="15.75" customHeight="1" x14ac:dyDescent="0.25">
      <c r="C537" s="2"/>
      <c r="H537" s="2"/>
    </row>
    <row r="538" spans="3:8" ht="15.75" customHeight="1" x14ac:dyDescent="0.25">
      <c r="C538" s="2"/>
      <c r="H538" s="2"/>
    </row>
    <row r="539" spans="3:8" ht="15.75" customHeight="1" x14ac:dyDescent="0.25">
      <c r="C539" s="2"/>
      <c r="H539" s="2"/>
    </row>
    <row r="540" spans="3:8" ht="15.75" customHeight="1" x14ac:dyDescent="0.25">
      <c r="C540" s="2"/>
      <c r="H540" s="2"/>
    </row>
    <row r="541" spans="3:8" ht="15.75" customHeight="1" x14ac:dyDescent="0.25">
      <c r="C541" s="2"/>
      <c r="H541" s="2"/>
    </row>
    <row r="542" spans="3:8" ht="15.75" customHeight="1" x14ac:dyDescent="0.25">
      <c r="C542" s="2"/>
      <c r="H542" s="2"/>
    </row>
    <row r="543" spans="3:8" ht="15.75" customHeight="1" x14ac:dyDescent="0.25">
      <c r="C543" s="2"/>
      <c r="H543" s="2"/>
    </row>
    <row r="544" spans="3:8" ht="15.75" customHeight="1" x14ac:dyDescent="0.25">
      <c r="C544" s="2"/>
      <c r="H544" s="2"/>
    </row>
    <row r="545" spans="3:8" ht="15.75" customHeight="1" x14ac:dyDescent="0.25">
      <c r="C545" s="2"/>
      <c r="H545" s="2"/>
    </row>
    <row r="546" spans="3:8" ht="15.75" customHeight="1" x14ac:dyDescent="0.25">
      <c r="C546" s="2"/>
      <c r="H546" s="2"/>
    </row>
    <row r="547" spans="3:8" ht="15.75" customHeight="1" x14ac:dyDescent="0.25">
      <c r="C547" s="2"/>
      <c r="H547" s="2"/>
    </row>
    <row r="548" spans="3:8" ht="15.75" customHeight="1" x14ac:dyDescent="0.25">
      <c r="C548" s="2"/>
      <c r="H548" s="2"/>
    </row>
    <row r="549" spans="3:8" ht="15.75" customHeight="1" x14ac:dyDescent="0.25">
      <c r="C549" s="2"/>
      <c r="H549" s="2"/>
    </row>
    <row r="550" spans="3:8" ht="15.75" customHeight="1" x14ac:dyDescent="0.25">
      <c r="C550" s="2"/>
      <c r="H550" s="2"/>
    </row>
    <row r="551" spans="3:8" ht="15.75" customHeight="1" x14ac:dyDescent="0.25">
      <c r="C551" s="2"/>
      <c r="H551" s="2"/>
    </row>
    <row r="552" spans="3:8" ht="15.75" customHeight="1" x14ac:dyDescent="0.25">
      <c r="C552" s="2"/>
      <c r="H552" s="2"/>
    </row>
    <row r="553" spans="3:8" ht="15.75" customHeight="1" x14ac:dyDescent="0.25">
      <c r="C553" s="2"/>
      <c r="H553" s="2"/>
    </row>
    <row r="554" spans="3:8" ht="15.75" customHeight="1" x14ac:dyDescent="0.25">
      <c r="C554" s="2"/>
      <c r="H554" s="2"/>
    </row>
    <row r="555" spans="3:8" ht="15.75" customHeight="1" x14ac:dyDescent="0.25">
      <c r="C555" s="2"/>
      <c r="H555" s="2"/>
    </row>
    <row r="556" spans="3:8" ht="15.75" customHeight="1" x14ac:dyDescent="0.25">
      <c r="C556" s="2"/>
      <c r="H556" s="2"/>
    </row>
    <row r="557" spans="3:8" ht="15.75" customHeight="1" x14ac:dyDescent="0.25">
      <c r="C557" s="2"/>
      <c r="H557" s="2"/>
    </row>
    <row r="558" spans="3:8" ht="15.75" customHeight="1" x14ac:dyDescent="0.25">
      <c r="C558" s="2"/>
      <c r="H558" s="2"/>
    </row>
    <row r="559" spans="3:8" ht="15.75" customHeight="1" x14ac:dyDescent="0.25">
      <c r="C559" s="2"/>
      <c r="H559" s="2"/>
    </row>
    <row r="560" spans="3:8" ht="15.75" customHeight="1" x14ac:dyDescent="0.25">
      <c r="C560" s="2"/>
      <c r="H560" s="2"/>
    </row>
    <row r="561" spans="3:8" ht="15.75" customHeight="1" x14ac:dyDescent="0.25">
      <c r="C561" s="2"/>
      <c r="H561" s="2"/>
    </row>
    <row r="562" spans="3:8" ht="15.75" customHeight="1" x14ac:dyDescent="0.25">
      <c r="C562" s="2"/>
      <c r="H562" s="2"/>
    </row>
    <row r="563" spans="3:8" ht="15.75" customHeight="1" x14ac:dyDescent="0.25">
      <c r="C563" s="2"/>
      <c r="H563" s="2"/>
    </row>
    <row r="564" spans="3:8" ht="15.75" customHeight="1" x14ac:dyDescent="0.25">
      <c r="C564" s="2"/>
      <c r="H564" s="2"/>
    </row>
    <row r="565" spans="3:8" ht="15.75" customHeight="1" x14ac:dyDescent="0.25">
      <c r="C565" s="2"/>
      <c r="H565" s="2"/>
    </row>
    <row r="566" spans="3:8" ht="15.75" customHeight="1" x14ac:dyDescent="0.25">
      <c r="C566" s="2"/>
      <c r="H566" s="2"/>
    </row>
    <row r="567" spans="3:8" ht="15.75" customHeight="1" x14ac:dyDescent="0.25">
      <c r="C567" s="2"/>
      <c r="H567" s="2"/>
    </row>
    <row r="568" spans="3:8" ht="15.75" customHeight="1" x14ac:dyDescent="0.25">
      <c r="C568" s="2"/>
      <c r="H568" s="2"/>
    </row>
    <row r="569" spans="3:8" ht="15.75" customHeight="1" x14ac:dyDescent="0.25">
      <c r="C569" s="2"/>
      <c r="H569" s="2"/>
    </row>
    <row r="570" spans="3:8" ht="15.75" customHeight="1" x14ac:dyDescent="0.25">
      <c r="C570" s="2"/>
      <c r="H570" s="2"/>
    </row>
    <row r="571" spans="3:8" ht="15.75" customHeight="1" x14ac:dyDescent="0.25">
      <c r="C571" s="2"/>
      <c r="H571" s="2"/>
    </row>
    <row r="572" spans="3:8" ht="15.75" customHeight="1" x14ac:dyDescent="0.25">
      <c r="C572" s="2"/>
      <c r="H572" s="2"/>
    </row>
    <row r="573" spans="3:8" ht="15.75" customHeight="1" x14ac:dyDescent="0.25">
      <c r="C573" s="2"/>
      <c r="H573" s="2"/>
    </row>
    <row r="574" spans="3:8" ht="15.75" customHeight="1" x14ac:dyDescent="0.25">
      <c r="C574" s="2"/>
      <c r="H574" s="2"/>
    </row>
    <row r="575" spans="3:8" ht="15.75" customHeight="1" x14ac:dyDescent="0.25">
      <c r="C575" s="2"/>
      <c r="H575" s="2"/>
    </row>
    <row r="576" spans="3:8" ht="15.75" customHeight="1" x14ac:dyDescent="0.25">
      <c r="C576" s="2"/>
      <c r="H576" s="2"/>
    </row>
    <row r="577" spans="3:8" ht="15.75" customHeight="1" x14ac:dyDescent="0.25">
      <c r="C577" s="2"/>
      <c r="H577" s="2"/>
    </row>
    <row r="578" spans="3:8" ht="15.75" customHeight="1" x14ac:dyDescent="0.25">
      <c r="C578" s="2"/>
      <c r="H578" s="2"/>
    </row>
    <row r="579" spans="3:8" ht="15.75" customHeight="1" x14ac:dyDescent="0.25">
      <c r="C579" s="2"/>
      <c r="H579" s="2"/>
    </row>
    <row r="580" spans="3:8" ht="15.75" customHeight="1" x14ac:dyDescent="0.25">
      <c r="C580" s="2"/>
      <c r="H580" s="2"/>
    </row>
    <row r="581" spans="3:8" ht="15.75" customHeight="1" x14ac:dyDescent="0.25">
      <c r="C581" s="2"/>
      <c r="H581" s="2"/>
    </row>
    <row r="582" spans="3:8" ht="15.75" customHeight="1" x14ac:dyDescent="0.25">
      <c r="C582" s="2"/>
      <c r="H582" s="2"/>
    </row>
    <row r="583" spans="3:8" ht="15.75" customHeight="1" x14ac:dyDescent="0.25">
      <c r="C583" s="2"/>
      <c r="H583" s="2"/>
    </row>
    <row r="584" spans="3:8" ht="15.75" customHeight="1" x14ac:dyDescent="0.25">
      <c r="C584" s="2"/>
      <c r="H584" s="2"/>
    </row>
    <row r="585" spans="3:8" ht="15.75" customHeight="1" x14ac:dyDescent="0.25">
      <c r="C585" s="2"/>
      <c r="H585" s="2"/>
    </row>
    <row r="586" spans="3:8" ht="15.75" customHeight="1" x14ac:dyDescent="0.25">
      <c r="C586" s="2"/>
      <c r="H586" s="2"/>
    </row>
    <row r="587" spans="3:8" ht="15.75" customHeight="1" x14ac:dyDescent="0.25">
      <c r="C587" s="2"/>
      <c r="H587" s="2"/>
    </row>
    <row r="588" spans="3:8" ht="15.75" customHeight="1" x14ac:dyDescent="0.25">
      <c r="C588" s="2"/>
      <c r="H588" s="2"/>
    </row>
    <row r="589" spans="3:8" ht="15.75" customHeight="1" x14ac:dyDescent="0.25">
      <c r="C589" s="2"/>
      <c r="H589" s="2"/>
    </row>
    <row r="590" spans="3:8" ht="15.75" customHeight="1" x14ac:dyDescent="0.25">
      <c r="C590" s="2"/>
      <c r="H590" s="2"/>
    </row>
    <row r="591" spans="3:8" ht="15.75" customHeight="1" x14ac:dyDescent="0.25">
      <c r="C591" s="2"/>
      <c r="H591" s="2"/>
    </row>
    <row r="592" spans="3:8" ht="15.75" customHeight="1" x14ac:dyDescent="0.25">
      <c r="C592" s="2"/>
      <c r="H592" s="2"/>
    </row>
    <row r="593" spans="3:8" ht="15.75" customHeight="1" x14ac:dyDescent="0.25">
      <c r="C593" s="2"/>
      <c r="H593" s="2"/>
    </row>
    <row r="594" spans="3:8" ht="15.75" customHeight="1" x14ac:dyDescent="0.25">
      <c r="C594" s="2"/>
      <c r="H594" s="2"/>
    </row>
    <row r="595" spans="3:8" ht="15.75" customHeight="1" x14ac:dyDescent="0.25">
      <c r="C595" s="2"/>
      <c r="H595" s="2"/>
    </row>
    <row r="596" spans="3:8" ht="15.75" customHeight="1" x14ac:dyDescent="0.25">
      <c r="C596" s="2"/>
      <c r="H596" s="2"/>
    </row>
    <row r="597" spans="3:8" ht="15.75" customHeight="1" x14ac:dyDescent="0.25">
      <c r="C597" s="2"/>
      <c r="H597" s="2"/>
    </row>
    <row r="598" spans="3:8" ht="15.75" customHeight="1" x14ac:dyDescent="0.25">
      <c r="C598" s="2"/>
      <c r="H598" s="2"/>
    </row>
    <row r="599" spans="3:8" ht="15.75" customHeight="1" x14ac:dyDescent="0.25">
      <c r="C599" s="2"/>
      <c r="H599" s="2"/>
    </row>
    <row r="600" spans="3:8" ht="15.75" customHeight="1" x14ac:dyDescent="0.25">
      <c r="C600" s="2"/>
      <c r="H600" s="2"/>
    </row>
    <row r="601" spans="3:8" ht="15.75" customHeight="1" x14ac:dyDescent="0.25">
      <c r="C601" s="2"/>
      <c r="H601" s="2"/>
    </row>
    <row r="602" spans="3:8" ht="15.75" customHeight="1" x14ac:dyDescent="0.25">
      <c r="C602" s="2"/>
      <c r="H602" s="2"/>
    </row>
    <row r="603" spans="3:8" ht="15.75" customHeight="1" x14ac:dyDescent="0.25">
      <c r="C603" s="2"/>
      <c r="H603" s="2"/>
    </row>
    <row r="604" spans="3:8" ht="15.75" customHeight="1" x14ac:dyDescent="0.25">
      <c r="C604" s="2"/>
      <c r="H604" s="2"/>
    </row>
    <row r="605" spans="3:8" ht="15.75" customHeight="1" x14ac:dyDescent="0.25">
      <c r="C605" s="2"/>
      <c r="H605" s="2"/>
    </row>
    <row r="606" spans="3:8" ht="15.75" customHeight="1" x14ac:dyDescent="0.25">
      <c r="C606" s="2"/>
      <c r="H606" s="2"/>
    </row>
    <row r="607" spans="3:8" ht="15.75" customHeight="1" x14ac:dyDescent="0.25">
      <c r="C607" s="2"/>
      <c r="H607" s="2"/>
    </row>
    <row r="608" spans="3:8" ht="15.75" customHeight="1" x14ac:dyDescent="0.25">
      <c r="C608" s="2"/>
      <c r="H608" s="2"/>
    </row>
    <row r="609" spans="3:8" ht="15.75" customHeight="1" x14ac:dyDescent="0.25">
      <c r="C609" s="2"/>
      <c r="H609" s="2"/>
    </row>
    <row r="610" spans="3:8" ht="15.75" customHeight="1" x14ac:dyDescent="0.25">
      <c r="C610" s="2"/>
      <c r="H610" s="2"/>
    </row>
    <row r="611" spans="3:8" ht="15.75" customHeight="1" x14ac:dyDescent="0.25">
      <c r="C611" s="2"/>
      <c r="H611" s="2"/>
    </row>
    <row r="612" spans="3:8" ht="15.75" customHeight="1" x14ac:dyDescent="0.25">
      <c r="C612" s="2"/>
      <c r="H612" s="2"/>
    </row>
    <row r="613" spans="3:8" ht="15.75" customHeight="1" x14ac:dyDescent="0.25">
      <c r="C613" s="2"/>
      <c r="H613" s="2"/>
    </row>
    <row r="614" spans="3:8" ht="15.75" customHeight="1" x14ac:dyDescent="0.25">
      <c r="C614" s="2"/>
      <c r="H614" s="2"/>
    </row>
    <row r="615" spans="3:8" ht="15.75" customHeight="1" x14ac:dyDescent="0.25">
      <c r="C615" s="2"/>
      <c r="H615" s="2"/>
    </row>
    <row r="616" spans="3:8" ht="15.75" customHeight="1" x14ac:dyDescent="0.25">
      <c r="C616" s="2"/>
      <c r="H616" s="2"/>
    </row>
    <row r="617" spans="3:8" ht="15.75" customHeight="1" x14ac:dyDescent="0.25">
      <c r="C617" s="2"/>
      <c r="H617" s="2"/>
    </row>
    <row r="618" spans="3:8" ht="15.75" customHeight="1" x14ac:dyDescent="0.25">
      <c r="C618" s="2"/>
      <c r="H618" s="2"/>
    </row>
    <row r="619" spans="3:8" ht="15.75" customHeight="1" x14ac:dyDescent="0.25">
      <c r="C619" s="2"/>
      <c r="H619" s="2"/>
    </row>
    <row r="620" spans="3:8" ht="15.75" customHeight="1" x14ac:dyDescent="0.25">
      <c r="C620" s="2"/>
      <c r="H620" s="2"/>
    </row>
    <row r="621" spans="3:8" ht="15.75" customHeight="1" x14ac:dyDescent="0.25">
      <c r="C621" s="2"/>
      <c r="H621" s="2"/>
    </row>
    <row r="622" spans="3:8" ht="15.75" customHeight="1" x14ac:dyDescent="0.25">
      <c r="C622" s="2"/>
      <c r="H622" s="2"/>
    </row>
    <row r="623" spans="3:8" ht="15.75" customHeight="1" x14ac:dyDescent="0.25">
      <c r="C623" s="2"/>
      <c r="H623" s="2"/>
    </row>
    <row r="624" spans="3:8" ht="15.75" customHeight="1" x14ac:dyDescent="0.25">
      <c r="C624" s="2"/>
      <c r="H624" s="2"/>
    </row>
    <row r="625" spans="3:8" ht="15.75" customHeight="1" x14ac:dyDescent="0.25">
      <c r="C625" s="2"/>
      <c r="H625" s="2"/>
    </row>
    <row r="626" spans="3:8" ht="15.75" customHeight="1" x14ac:dyDescent="0.25">
      <c r="C626" s="2"/>
      <c r="H626" s="2"/>
    </row>
    <row r="627" spans="3:8" ht="15.75" customHeight="1" x14ac:dyDescent="0.25">
      <c r="C627" s="2"/>
      <c r="H627" s="2"/>
    </row>
    <row r="628" spans="3:8" ht="15.75" customHeight="1" x14ac:dyDescent="0.25">
      <c r="C628" s="2"/>
      <c r="H628" s="2"/>
    </row>
    <row r="629" spans="3:8" ht="15.75" customHeight="1" x14ac:dyDescent="0.25">
      <c r="C629" s="2"/>
      <c r="H629" s="2"/>
    </row>
    <row r="630" spans="3:8" ht="15.75" customHeight="1" x14ac:dyDescent="0.25">
      <c r="C630" s="2"/>
      <c r="H630" s="2"/>
    </row>
    <row r="631" spans="3:8" ht="15.75" customHeight="1" x14ac:dyDescent="0.25">
      <c r="C631" s="2"/>
      <c r="H631" s="2"/>
    </row>
    <row r="632" spans="3:8" ht="15.75" customHeight="1" x14ac:dyDescent="0.25">
      <c r="C632" s="2"/>
      <c r="H632" s="2"/>
    </row>
    <row r="633" spans="3:8" ht="15.75" customHeight="1" x14ac:dyDescent="0.25">
      <c r="C633" s="2"/>
      <c r="H633" s="2"/>
    </row>
    <row r="634" spans="3:8" ht="15.75" customHeight="1" x14ac:dyDescent="0.25">
      <c r="C634" s="2"/>
      <c r="H634" s="2"/>
    </row>
    <row r="635" spans="3:8" ht="15.75" customHeight="1" x14ac:dyDescent="0.25">
      <c r="C635" s="2"/>
      <c r="H635" s="2"/>
    </row>
    <row r="636" spans="3:8" ht="15.75" customHeight="1" x14ac:dyDescent="0.25">
      <c r="C636" s="2"/>
      <c r="H636" s="2"/>
    </row>
    <row r="637" spans="3:8" ht="15.75" customHeight="1" x14ac:dyDescent="0.25">
      <c r="C637" s="2"/>
      <c r="H637" s="2"/>
    </row>
    <row r="638" spans="3:8" ht="15.75" customHeight="1" x14ac:dyDescent="0.25">
      <c r="C638" s="2"/>
      <c r="H638" s="2"/>
    </row>
    <row r="639" spans="3:8" ht="15.75" customHeight="1" x14ac:dyDescent="0.25">
      <c r="C639" s="2"/>
      <c r="H639" s="2"/>
    </row>
    <row r="640" spans="3:8" ht="15.75" customHeight="1" x14ac:dyDescent="0.25">
      <c r="C640" s="2"/>
      <c r="H640" s="2"/>
    </row>
    <row r="641" spans="3:8" ht="15.75" customHeight="1" x14ac:dyDescent="0.25">
      <c r="C641" s="2"/>
      <c r="H641" s="2"/>
    </row>
    <row r="642" spans="3:8" ht="15.75" customHeight="1" x14ac:dyDescent="0.25">
      <c r="C642" s="2"/>
      <c r="H642" s="2"/>
    </row>
    <row r="643" spans="3:8" ht="15.75" customHeight="1" x14ac:dyDescent="0.25">
      <c r="C643" s="2"/>
      <c r="H643" s="2"/>
    </row>
    <row r="644" spans="3:8" ht="15.75" customHeight="1" x14ac:dyDescent="0.25">
      <c r="C644" s="2"/>
      <c r="H644" s="2"/>
    </row>
    <row r="645" spans="3:8" ht="15.75" customHeight="1" x14ac:dyDescent="0.25">
      <c r="C645" s="2"/>
      <c r="H645" s="2"/>
    </row>
    <row r="646" spans="3:8" ht="15.75" customHeight="1" x14ac:dyDescent="0.25">
      <c r="C646" s="2"/>
      <c r="H646" s="2"/>
    </row>
    <row r="647" spans="3:8" ht="15.75" customHeight="1" x14ac:dyDescent="0.25">
      <c r="C647" s="2"/>
      <c r="H647" s="2"/>
    </row>
    <row r="648" spans="3:8" ht="15.75" customHeight="1" x14ac:dyDescent="0.25">
      <c r="C648" s="2"/>
      <c r="H648" s="2"/>
    </row>
    <row r="649" spans="3:8" ht="15.75" customHeight="1" x14ac:dyDescent="0.25">
      <c r="C649" s="2"/>
      <c r="H649" s="2"/>
    </row>
    <row r="650" spans="3:8" ht="15.75" customHeight="1" x14ac:dyDescent="0.25">
      <c r="C650" s="2"/>
      <c r="H650" s="2"/>
    </row>
    <row r="651" spans="3:8" ht="15.75" customHeight="1" x14ac:dyDescent="0.25">
      <c r="C651" s="2"/>
      <c r="H651" s="2"/>
    </row>
    <row r="652" spans="3:8" ht="15.75" customHeight="1" x14ac:dyDescent="0.25">
      <c r="C652" s="2"/>
      <c r="H652" s="2"/>
    </row>
    <row r="653" spans="3:8" ht="15.75" customHeight="1" x14ac:dyDescent="0.25">
      <c r="C653" s="2"/>
      <c r="H653" s="2"/>
    </row>
    <row r="654" spans="3:8" ht="15.75" customHeight="1" x14ac:dyDescent="0.25">
      <c r="C654" s="2"/>
      <c r="H654" s="2"/>
    </row>
    <row r="655" spans="3:8" ht="15.75" customHeight="1" x14ac:dyDescent="0.25">
      <c r="C655" s="2"/>
      <c r="H655" s="2"/>
    </row>
    <row r="656" spans="3:8" ht="15.75" customHeight="1" x14ac:dyDescent="0.25">
      <c r="C656" s="2"/>
      <c r="H656" s="2"/>
    </row>
    <row r="657" spans="3:8" ht="15.75" customHeight="1" x14ac:dyDescent="0.25">
      <c r="C657" s="2"/>
      <c r="H657" s="2"/>
    </row>
    <row r="658" spans="3:8" ht="15.75" customHeight="1" x14ac:dyDescent="0.25">
      <c r="C658" s="2"/>
      <c r="H658" s="2"/>
    </row>
    <row r="659" spans="3:8" ht="15.75" customHeight="1" x14ac:dyDescent="0.25">
      <c r="C659" s="2"/>
      <c r="H659" s="2"/>
    </row>
    <row r="660" spans="3:8" ht="15.75" customHeight="1" x14ac:dyDescent="0.25">
      <c r="C660" s="2"/>
      <c r="H660" s="2"/>
    </row>
    <row r="661" spans="3:8" ht="15.75" customHeight="1" x14ac:dyDescent="0.25">
      <c r="C661" s="2"/>
      <c r="H661" s="2"/>
    </row>
    <row r="662" spans="3:8" ht="15.75" customHeight="1" x14ac:dyDescent="0.25">
      <c r="C662" s="2"/>
      <c r="H662" s="2"/>
    </row>
    <row r="663" spans="3:8" ht="15.75" customHeight="1" x14ac:dyDescent="0.25">
      <c r="C663" s="2"/>
      <c r="H663" s="2"/>
    </row>
    <row r="664" spans="3:8" ht="15.75" customHeight="1" x14ac:dyDescent="0.25">
      <c r="C664" s="2"/>
      <c r="H664" s="2"/>
    </row>
    <row r="665" spans="3:8" ht="15.75" customHeight="1" x14ac:dyDescent="0.25">
      <c r="C665" s="2"/>
      <c r="H665" s="2"/>
    </row>
    <row r="666" spans="3:8" ht="15.75" customHeight="1" x14ac:dyDescent="0.25">
      <c r="C666" s="2"/>
      <c r="H666" s="2"/>
    </row>
    <row r="667" spans="3:8" ht="15.75" customHeight="1" x14ac:dyDescent="0.25">
      <c r="C667" s="2"/>
      <c r="H667" s="2"/>
    </row>
    <row r="668" spans="3:8" ht="15.75" customHeight="1" x14ac:dyDescent="0.25">
      <c r="C668" s="2"/>
      <c r="H668" s="2"/>
    </row>
    <row r="669" spans="3:8" ht="15.75" customHeight="1" x14ac:dyDescent="0.25">
      <c r="C669" s="2"/>
      <c r="H669" s="2"/>
    </row>
    <row r="670" spans="3:8" ht="15.75" customHeight="1" x14ac:dyDescent="0.25">
      <c r="C670" s="2"/>
      <c r="H670" s="2"/>
    </row>
    <row r="671" spans="3:8" ht="15.75" customHeight="1" x14ac:dyDescent="0.25">
      <c r="C671" s="2"/>
      <c r="H671" s="2"/>
    </row>
    <row r="672" spans="3:8" ht="15.75" customHeight="1" x14ac:dyDescent="0.25">
      <c r="C672" s="2"/>
      <c r="H672" s="2"/>
    </row>
    <row r="673" spans="3:8" ht="15.75" customHeight="1" x14ac:dyDescent="0.25">
      <c r="C673" s="2"/>
      <c r="H673" s="2"/>
    </row>
    <row r="674" spans="3:8" ht="15.75" customHeight="1" x14ac:dyDescent="0.25">
      <c r="C674" s="2"/>
      <c r="H674" s="2"/>
    </row>
    <row r="675" spans="3:8" ht="15.75" customHeight="1" x14ac:dyDescent="0.25">
      <c r="C675" s="2"/>
      <c r="H675" s="2"/>
    </row>
    <row r="676" spans="3:8" ht="15.75" customHeight="1" x14ac:dyDescent="0.25">
      <c r="C676" s="2"/>
      <c r="H676" s="2"/>
    </row>
    <row r="677" spans="3:8" ht="15.75" customHeight="1" x14ac:dyDescent="0.25">
      <c r="C677" s="2"/>
      <c r="H677" s="2"/>
    </row>
    <row r="678" spans="3:8" ht="15.75" customHeight="1" x14ac:dyDescent="0.25">
      <c r="C678" s="2"/>
      <c r="H678" s="2"/>
    </row>
    <row r="679" spans="3:8" ht="15.75" customHeight="1" x14ac:dyDescent="0.25">
      <c r="C679" s="2"/>
      <c r="H679" s="2"/>
    </row>
    <row r="680" spans="3:8" ht="15.75" customHeight="1" x14ac:dyDescent="0.25">
      <c r="C680" s="2"/>
      <c r="H680" s="2"/>
    </row>
    <row r="681" spans="3:8" ht="15.75" customHeight="1" x14ac:dyDescent="0.25">
      <c r="C681" s="2"/>
      <c r="H681" s="2"/>
    </row>
    <row r="682" spans="3:8" ht="15.75" customHeight="1" x14ac:dyDescent="0.25">
      <c r="C682" s="2"/>
      <c r="H682" s="2"/>
    </row>
    <row r="683" spans="3:8" ht="15.75" customHeight="1" x14ac:dyDescent="0.25">
      <c r="C683" s="2"/>
      <c r="H683" s="2"/>
    </row>
    <row r="684" spans="3:8" ht="15.75" customHeight="1" x14ac:dyDescent="0.25">
      <c r="C684" s="2"/>
      <c r="H684" s="2"/>
    </row>
    <row r="685" spans="3:8" ht="15.75" customHeight="1" x14ac:dyDescent="0.25">
      <c r="C685" s="2"/>
      <c r="H685" s="2"/>
    </row>
    <row r="686" spans="3:8" ht="15.75" customHeight="1" x14ac:dyDescent="0.25">
      <c r="C686" s="2"/>
      <c r="H686" s="2"/>
    </row>
    <row r="687" spans="3:8" ht="15.75" customHeight="1" x14ac:dyDescent="0.25">
      <c r="C687" s="2"/>
      <c r="H687" s="2"/>
    </row>
    <row r="688" spans="3:8" ht="15.75" customHeight="1" x14ac:dyDescent="0.25">
      <c r="C688" s="2"/>
      <c r="H688" s="2"/>
    </row>
    <row r="689" spans="3:8" ht="15.75" customHeight="1" x14ac:dyDescent="0.25">
      <c r="C689" s="2"/>
      <c r="H689" s="2"/>
    </row>
    <row r="690" spans="3:8" ht="15.75" customHeight="1" x14ac:dyDescent="0.25">
      <c r="C690" s="2"/>
      <c r="H690" s="2"/>
    </row>
    <row r="691" spans="3:8" ht="15.75" customHeight="1" x14ac:dyDescent="0.25">
      <c r="C691" s="2"/>
      <c r="H691" s="2"/>
    </row>
    <row r="692" spans="3:8" ht="15.75" customHeight="1" x14ac:dyDescent="0.25">
      <c r="C692" s="2"/>
      <c r="H692" s="2"/>
    </row>
    <row r="693" spans="3:8" ht="15.75" customHeight="1" x14ac:dyDescent="0.25">
      <c r="C693" s="2"/>
      <c r="H693" s="2"/>
    </row>
    <row r="694" spans="3:8" ht="15.75" customHeight="1" x14ac:dyDescent="0.25">
      <c r="C694" s="2"/>
      <c r="H694" s="2"/>
    </row>
    <row r="695" spans="3:8" ht="15.75" customHeight="1" x14ac:dyDescent="0.25">
      <c r="C695" s="2"/>
      <c r="H695" s="2"/>
    </row>
    <row r="696" spans="3:8" ht="15.75" customHeight="1" x14ac:dyDescent="0.25">
      <c r="C696" s="2"/>
      <c r="H696" s="2"/>
    </row>
    <row r="697" spans="3:8" ht="15.75" customHeight="1" x14ac:dyDescent="0.25">
      <c r="C697" s="2"/>
      <c r="H697" s="2"/>
    </row>
    <row r="698" spans="3:8" ht="15.75" customHeight="1" x14ac:dyDescent="0.25">
      <c r="C698" s="2"/>
      <c r="H698" s="2"/>
    </row>
    <row r="699" spans="3:8" ht="15.75" customHeight="1" x14ac:dyDescent="0.25">
      <c r="C699" s="2"/>
      <c r="H699" s="2"/>
    </row>
    <row r="700" spans="3:8" ht="15.75" customHeight="1" x14ac:dyDescent="0.25">
      <c r="C700" s="2"/>
      <c r="H700" s="2"/>
    </row>
    <row r="701" spans="3:8" ht="15.75" customHeight="1" x14ac:dyDescent="0.25">
      <c r="C701" s="2"/>
      <c r="H701" s="2"/>
    </row>
    <row r="702" spans="3:8" ht="15.75" customHeight="1" x14ac:dyDescent="0.25">
      <c r="C702" s="2"/>
      <c r="H702" s="2"/>
    </row>
    <row r="703" spans="3:8" ht="15.75" customHeight="1" x14ac:dyDescent="0.25">
      <c r="C703" s="2"/>
      <c r="H703" s="2"/>
    </row>
    <row r="704" spans="3:8" ht="15.75" customHeight="1" x14ac:dyDescent="0.25">
      <c r="C704" s="2"/>
      <c r="H704" s="2"/>
    </row>
    <row r="705" spans="3:8" ht="15.75" customHeight="1" x14ac:dyDescent="0.25">
      <c r="C705" s="2"/>
      <c r="H705" s="2"/>
    </row>
    <row r="706" spans="3:8" ht="15.75" customHeight="1" x14ac:dyDescent="0.25">
      <c r="C706" s="2"/>
      <c r="H706" s="2"/>
    </row>
    <row r="707" spans="3:8" ht="15.75" customHeight="1" x14ac:dyDescent="0.25">
      <c r="C707" s="2"/>
      <c r="H707" s="2"/>
    </row>
    <row r="708" spans="3:8" ht="15.75" customHeight="1" x14ac:dyDescent="0.25">
      <c r="C708" s="2"/>
      <c r="H708" s="2"/>
    </row>
    <row r="709" spans="3:8" ht="15.75" customHeight="1" x14ac:dyDescent="0.25">
      <c r="C709" s="2"/>
      <c r="H709" s="2"/>
    </row>
    <row r="710" spans="3:8" ht="15.75" customHeight="1" x14ac:dyDescent="0.25">
      <c r="C710" s="2"/>
      <c r="H710" s="2"/>
    </row>
    <row r="711" spans="3:8" ht="15.75" customHeight="1" x14ac:dyDescent="0.25">
      <c r="C711" s="2"/>
      <c r="H711" s="2"/>
    </row>
    <row r="712" spans="3:8" ht="15.75" customHeight="1" x14ac:dyDescent="0.25">
      <c r="C712" s="2"/>
      <c r="H712" s="2"/>
    </row>
    <row r="713" spans="3:8" ht="15.75" customHeight="1" x14ac:dyDescent="0.25">
      <c r="C713" s="2"/>
      <c r="H713" s="2"/>
    </row>
    <row r="714" spans="3:8" ht="15.75" customHeight="1" x14ac:dyDescent="0.25">
      <c r="C714" s="2"/>
      <c r="H714" s="2"/>
    </row>
    <row r="715" spans="3:8" ht="15.75" customHeight="1" x14ac:dyDescent="0.25">
      <c r="C715" s="2"/>
      <c r="H715" s="2"/>
    </row>
    <row r="716" spans="3:8" ht="15.75" customHeight="1" x14ac:dyDescent="0.25">
      <c r="C716" s="2"/>
      <c r="H716" s="2"/>
    </row>
    <row r="717" spans="3:8" ht="15.75" customHeight="1" x14ac:dyDescent="0.25">
      <c r="C717" s="2"/>
      <c r="H717" s="2"/>
    </row>
    <row r="718" spans="3:8" ht="15.75" customHeight="1" x14ac:dyDescent="0.25">
      <c r="C718" s="2"/>
      <c r="H718" s="2"/>
    </row>
    <row r="719" spans="3:8" ht="15.75" customHeight="1" x14ac:dyDescent="0.25">
      <c r="C719" s="2"/>
      <c r="H719" s="2"/>
    </row>
    <row r="720" spans="3:8" ht="15.75" customHeight="1" x14ac:dyDescent="0.25">
      <c r="C720" s="2"/>
      <c r="H720" s="2"/>
    </row>
    <row r="721" spans="3:8" ht="15.75" customHeight="1" x14ac:dyDescent="0.25">
      <c r="C721" s="2"/>
      <c r="H721" s="2"/>
    </row>
    <row r="722" spans="3:8" ht="15.75" customHeight="1" x14ac:dyDescent="0.25">
      <c r="C722" s="2"/>
      <c r="H722" s="2"/>
    </row>
    <row r="723" spans="3:8" ht="15.75" customHeight="1" x14ac:dyDescent="0.25">
      <c r="C723" s="2"/>
      <c r="H723" s="2"/>
    </row>
    <row r="724" spans="3:8" ht="15.75" customHeight="1" x14ac:dyDescent="0.25">
      <c r="C724" s="2"/>
      <c r="H724" s="2"/>
    </row>
    <row r="725" spans="3:8" ht="15.75" customHeight="1" x14ac:dyDescent="0.25">
      <c r="C725" s="2"/>
      <c r="H725" s="2"/>
    </row>
    <row r="726" spans="3:8" ht="15.75" customHeight="1" x14ac:dyDescent="0.25">
      <c r="C726" s="2"/>
      <c r="H726" s="2"/>
    </row>
    <row r="727" spans="3:8" ht="15.75" customHeight="1" x14ac:dyDescent="0.25">
      <c r="C727" s="2"/>
      <c r="H727" s="2"/>
    </row>
    <row r="728" spans="3:8" ht="15.75" customHeight="1" x14ac:dyDescent="0.25">
      <c r="C728" s="2"/>
      <c r="H728" s="2"/>
    </row>
    <row r="729" spans="3:8" ht="15.75" customHeight="1" x14ac:dyDescent="0.25">
      <c r="C729" s="2"/>
      <c r="H729" s="2"/>
    </row>
    <row r="730" spans="3:8" ht="15.75" customHeight="1" x14ac:dyDescent="0.25">
      <c r="C730" s="2"/>
      <c r="H730" s="2"/>
    </row>
    <row r="731" spans="3:8" ht="15.75" customHeight="1" x14ac:dyDescent="0.25">
      <c r="C731" s="2"/>
      <c r="H731" s="2"/>
    </row>
    <row r="732" spans="3:8" ht="15.75" customHeight="1" x14ac:dyDescent="0.25">
      <c r="C732" s="2"/>
      <c r="H732" s="2"/>
    </row>
    <row r="733" spans="3:8" ht="15.75" customHeight="1" x14ac:dyDescent="0.25">
      <c r="C733" s="2"/>
      <c r="H733" s="2"/>
    </row>
    <row r="734" spans="3:8" ht="15.75" customHeight="1" x14ac:dyDescent="0.25">
      <c r="C734" s="2"/>
      <c r="H734" s="2"/>
    </row>
    <row r="735" spans="3:8" ht="15.75" customHeight="1" x14ac:dyDescent="0.25">
      <c r="C735" s="2"/>
      <c r="H735" s="2"/>
    </row>
    <row r="736" spans="3:8" ht="15.75" customHeight="1" x14ac:dyDescent="0.25">
      <c r="C736" s="2"/>
      <c r="H736" s="2"/>
    </row>
    <row r="737" spans="3:8" ht="15.75" customHeight="1" x14ac:dyDescent="0.25">
      <c r="C737" s="2"/>
      <c r="H737" s="2"/>
    </row>
    <row r="738" spans="3:8" ht="15.75" customHeight="1" x14ac:dyDescent="0.25">
      <c r="C738" s="2"/>
      <c r="H738" s="2"/>
    </row>
    <row r="739" spans="3:8" ht="15.75" customHeight="1" x14ac:dyDescent="0.25">
      <c r="C739" s="2"/>
      <c r="H739" s="2"/>
    </row>
    <row r="740" spans="3:8" ht="15.75" customHeight="1" x14ac:dyDescent="0.25">
      <c r="C740" s="2"/>
      <c r="H740" s="2"/>
    </row>
    <row r="741" spans="3:8" ht="15.75" customHeight="1" x14ac:dyDescent="0.25">
      <c r="C741" s="2"/>
      <c r="H741" s="2"/>
    </row>
    <row r="742" spans="3:8" ht="15.75" customHeight="1" x14ac:dyDescent="0.25">
      <c r="C742" s="2"/>
      <c r="H742" s="2"/>
    </row>
    <row r="743" spans="3:8" ht="15.75" customHeight="1" x14ac:dyDescent="0.25">
      <c r="C743" s="2"/>
      <c r="H743" s="2"/>
    </row>
    <row r="744" spans="3:8" ht="15.75" customHeight="1" x14ac:dyDescent="0.25">
      <c r="C744" s="2"/>
      <c r="H744" s="2"/>
    </row>
    <row r="745" spans="3:8" ht="15.75" customHeight="1" x14ac:dyDescent="0.25">
      <c r="C745" s="2"/>
      <c r="H745" s="2"/>
    </row>
    <row r="746" spans="3:8" ht="15.75" customHeight="1" x14ac:dyDescent="0.25">
      <c r="C746" s="2"/>
      <c r="H746" s="2"/>
    </row>
    <row r="747" spans="3:8" ht="15.75" customHeight="1" x14ac:dyDescent="0.25">
      <c r="C747" s="2"/>
      <c r="H747" s="2"/>
    </row>
    <row r="748" spans="3:8" ht="15.75" customHeight="1" x14ac:dyDescent="0.25">
      <c r="C748" s="2"/>
      <c r="H748" s="2"/>
    </row>
    <row r="749" spans="3:8" ht="15.75" customHeight="1" x14ac:dyDescent="0.25">
      <c r="C749" s="2"/>
      <c r="H749" s="2"/>
    </row>
    <row r="750" spans="3:8" ht="15.75" customHeight="1" x14ac:dyDescent="0.25">
      <c r="C750" s="2"/>
      <c r="H750" s="2"/>
    </row>
    <row r="751" spans="3:8" ht="15.75" customHeight="1" x14ac:dyDescent="0.25">
      <c r="C751" s="2"/>
      <c r="H751" s="2"/>
    </row>
    <row r="752" spans="3:8" ht="15.75" customHeight="1" x14ac:dyDescent="0.25">
      <c r="C752" s="2"/>
      <c r="H752" s="2"/>
    </row>
    <row r="753" spans="3:8" ht="15.75" customHeight="1" x14ac:dyDescent="0.25">
      <c r="C753" s="2"/>
      <c r="H753" s="2"/>
    </row>
    <row r="754" spans="3:8" ht="15.75" customHeight="1" x14ac:dyDescent="0.25">
      <c r="C754" s="2"/>
      <c r="H754" s="2"/>
    </row>
    <row r="755" spans="3:8" ht="15.75" customHeight="1" x14ac:dyDescent="0.25">
      <c r="C755" s="2"/>
      <c r="H755" s="2"/>
    </row>
    <row r="756" spans="3:8" ht="15.75" customHeight="1" x14ac:dyDescent="0.25">
      <c r="C756" s="2"/>
      <c r="H756" s="2"/>
    </row>
    <row r="757" spans="3:8" ht="15.75" customHeight="1" x14ac:dyDescent="0.25">
      <c r="C757" s="2"/>
      <c r="H757" s="2"/>
    </row>
    <row r="758" spans="3:8" ht="15.75" customHeight="1" x14ac:dyDescent="0.25">
      <c r="C758" s="2"/>
      <c r="H758" s="2"/>
    </row>
    <row r="759" spans="3:8" ht="15.75" customHeight="1" x14ac:dyDescent="0.25">
      <c r="C759" s="2"/>
      <c r="H759" s="2"/>
    </row>
    <row r="760" spans="3:8" ht="15.75" customHeight="1" x14ac:dyDescent="0.25">
      <c r="C760" s="2"/>
      <c r="H760" s="2"/>
    </row>
    <row r="761" spans="3:8" ht="15.75" customHeight="1" x14ac:dyDescent="0.25">
      <c r="C761" s="2"/>
      <c r="H761" s="2"/>
    </row>
    <row r="762" spans="3:8" ht="15.75" customHeight="1" x14ac:dyDescent="0.25">
      <c r="C762" s="2"/>
      <c r="H762" s="2"/>
    </row>
    <row r="763" spans="3:8" ht="15.75" customHeight="1" x14ac:dyDescent="0.25">
      <c r="C763" s="2"/>
      <c r="H763" s="2"/>
    </row>
    <row r="764" spans="3:8" ht="15.75" customHeight="1" x14ac:dyDescent="0.25">
      <c r="C764" s="2"/>
      <c r="H764" s="2"/>
    </row>
    <row r="765" spans="3:8" ht="15.75" customHeight="1" x14ac:dyDescent="0.25">
      <c r="C765" s="2"/>
      <c r="H765" s="2"/>
    </row>
    <row r="766" spans="3:8" ht="15.75" customHeight="1" x14ac:dyDescent="0.25">
      <c r="C766" s="2"/>
      <c r="H766" s="2"/>
    </row>
    <row r="767" spans="3:8" ht="15.75" customHeight="1" x14ac:dyDescent="0.25">
      <c r="C767" s="2"/>
      <c r="H767" s="2"/>
    </row>
    <row r="768" spans="3:8" ht="15.75" customHeight="1" x14ac:dyDescent="0.25">
      <c r="C768" s="2"/>
      <c r="H768" s="2"/>
    </row>
    <row r="769" spans="3:8" ht="15.75" customHeight="1" x14ac:dyDescent="0.25">
      <c r="C769" s="2"/>
      <c r="H769" s="2"/>
    </row>
    <row r="770" spans="3:8" ht="15.75" customHeight="1" x14ac:dyDescent="0.25">
      <c r="C770" s="2"/>
      <c r="H770" s="2"/>
    </row>
    <row r="771" spans="3:8" ht="15.75" customHeight="1" x14ac:dyDescent="0.25">
      <c r="C771" s="2"/>
      <c r="H771" s="2"/>
    </row>
    <row r="772" spans="3:8" ht="15.75" customHeight="1" x14ac:dyDescent="0.25">
      <c r="C772" s="2"/>
      <c r="H772" s="2"/>
    </row>
    <row r="773" spans="3:8" ht="15.75" customHeight="1" x14ac:dyDescent="0.25">
      <c r="C773" s="2"/>
      <c r="H773" s="2"/>
    </row>
    <row r="774" spans="3:8" ht="15.75" customHeight="1" x14ac:dyDescent="0.25">
      <c r="C774" s="2"/>
      <c r="H774" s="2"/>
    </row>
    <row r="775" spans="3:8" ht="15.75" customHeight="1" x14ac:dyDescent="0.25">
      <c r="C775" s="2"/>
      <c r="H775" s="2"/>
    </row>
    <row r="776" spans="3:8" ht="15.75" customHeight="1" x14ac:dyDescent="0.25">
      <c r="C776" s="2"/>
      <c r="H776" s="2"/>
    </row>
    <row r="777" spans="3:8" ht="15.75" customHeight="1" x14ac:dyDescent="0.25">
      <c r="C777" s="2"/>
      <c r="H777" s="2"/>
    </row>
    <row r="778" spans="3:8" ht="15.75" customHeight="1" x14ac:dyDescent="0.25">
      <c r="C778" s="2"/>
      <c r="H778" s="2"/>
    </row>
    <row r="779" spans="3:8" ht="15.75" customHeight="1" x14ac:dyDescent="0.25">
      <c r="C779" s="2"/>
      <c r="H779" s="2"/>
    </row>
    <row r="780" spans="3:8" ht="15.75" customHeight="1" x14ac:dyDescent="0.25">
      <c r="C780" s="2"/>
      <c r="H780" s="2"/>
    </row>
    <row r="781" spans="3:8" ht="15.75" customHeight="1" x14ac:dyDescent="0.25">
      <c r="C781" s="2"/>
      <c r="H781" s="2"/>
    </row>
    <row r="782" spans="3:8" ht="15.75" customHeight="1" x14ac:dyDescent="0.25">
      <c r="C782" s="2"/>
      <c r="H782" s="2"/>
    </row>
    <row r="783" spans="3:8" ht="15.75" customHeight="1" x14ac:dyDescent="0.25">
      <c r="C783" s="2"/>
      <c r="H783" s="2"/>
    </row>
    <row r="784" spans="3:8" ht="15.75" customHeight="1" x14ac:dyDescent="0.25">
      <c r="C784" s="2"/>
      <c r="H784" s="2"/>
    </row>
    <row r="785" spans="3:8" ht="15.75" customHeight="1" x14ac:dyDescent="0.25">
      <c r="C785" s="2"/>
      <c r="H785" s="2"/>
    </row>
    <row r="786" spans="3:8" ht="15.75" customHeight="1" x14ac:dyDescent="0.25">
      <c r="C786" s="2"/>
      <c r="H786" s="2"/>
    </row>
    <row r="787" spans="3:8" ht="15.75" customHeight="1" x14ac:dyDescent="0.25">
      <c r="C787" s="2"/>
      <c r="H787" s="2"/>
    </row>
    <row r="788" spans="3:8" ht="15.75" customHeight="1" x14ac:dyDescent="0.25">
      <c r="C788" s="2"/>
      <c r="H788" s="2"/>
    </row>
    <row r="789" spans="3:8" ht="15.75" customHeight="1" x14ac:dyDescent="0.25">
      <c r="C789" s="2"/>
      <c r="H789" s="2"/>
    </row>
    <row r="790" spans="3:8" ht="15.75" customHeight="1" x14ac:dyDescent="0.25">
      <c r="C790" s="2"/>
      <c r="H790" s="2"/>
    </row>
    <row r="791" spans="3:8" ht="15.75" customHeight="1" x14ac:dyDescent="0.25">
      <c r="C791" s="2"/>
      <c r="H791" s="2"/>
    </row>
    <row r="792" spans="3:8" ht="15.75" customHeight="1" x14ac:dyDescent="0.25">
      <c r="C792" s="2"/>
      <c r="H792" s="2"/>
    </row>
    <row r="793" spans="3:8" ht="15.75" customHeight="1" x14ac:dyDescent="0.25">
      <c r="C793" s="2"/>
      <c r="H793" s="2"/>
    </row>
    <row r="794" spans="3:8" ht="15.75" customHeight="1" x14ac:dyDescent="0.25">
      <c r="C794" s="2"/>
      <c r="H794" s="2"/>
    </row>
    <row r="795" spans="3:8" ht="15.75" customHeight="1" x14ac:dyDescent="0.25">
      <c r="C795" s="2"/>
      <c r="H795" s="2"/>
    </row>
    <row r="796" spans="3:8" ht="15.75" customHeight="1" x14ac:dyDescent="0.25">
      <c r="C796" s="2"/>
      <c r="H796" s="2"/>
    </row>
    <row r="797" spans="3:8" ht="15.75" customHeight="1" x14ac:dyDescent="0.25">
      <c r="C797" s="2"/>
      <c r="H797" s="2"/>
    </row>
    <row r="798" spans="3:8" ht="15.75" customHeight="1" x14ac:dyDescent="0.25">
      <c r="C798" s="2"/>
      <c r="H798" s="2"/>
    </row>
    <row r="799" spans="3:8" ht="15.75" customHeight="1" x14ac:dyDescent="0.25">
      <c r="C799" s="2"/>
      <c r="H799" s="2"/>
    </row>
    <row r="800" spans="3:8" ht="15.75" customHeight="1" x14ac:dyDescent="0.25">
      <c r="C800" s="2"/>
      <c r="H800" s="2"/>
    </row>
    <row r="801" spans="3:8" ht="15.75" customHeight="1" x14ac:dyDescent="0.25">
      <c r="C801" s="2"/>
      <c r="H801" s="2"/>
    </row>
    <row r="802" spans="3:8" ht="15.75" customHeight="1" x14ac:dyDescent="0.25">
      <c r="C802" s="2"/>
      <c r="H802" s="2"/>
    </row>
    <row r="803" spans="3:8" ht="15.75" customHeight="1" x14ac:dyDescent="0.25">
      <c r="C803" s="2"/>
      <c r="H803" s="2"/>
    </row>
    <row r="804" spans="3:8" ht="15.75" customHeight="1" x14ac:dyDescent="0.25">
      <c r="C804" s="2"/>
      <c r="H804" s="2"/>
    </row>
    <row r="805" spans="3:8" ht="15.75" customHeight="1" x14ac:dyDescent="0.25">
      <c r="C805" s="2"/>
      <c r="H805" s="2"/>
    </row>
    <row r="806" spans="3:8" ht="15.75" customHeight="1" x14ac:dyDescent="0.25">
      <c r="C806" s="2"/>
      <c r="H806" s="2"/>
    </row>
    <row r="807" spans="3:8" ht="15.75" customHeight="1" x14ac:dyDescent="0.25">
      <c r="C807" s="2"/>
      <c r="H807" s="2"/>
    </row>
    <row r="808" spans="3:8" ht="15.75" customHeight="1" x14ac:dyDescent="0.25">
      <c r="C808" s="2"/>
      <c r="H808" s="2"/>
    </row>
    <row r="809" spans="3:8" ht="15.75" customHeight="1" x14ac:dyDescent="0.25">
      <c r="C809" s="2"/>
      <c r="H809" s="2"/>
    </row>
    <row r="810" spans="3:8" ht="15.75" customHeight="1" x14ac:dyDescent="0.25">
      <c r="C810" s="2"/>
      <c r="H810" s="2"/>
    </row>
    <row r="811" spans="3:8" ht="15.75" customHeight="1" x14ac:dyDescent="0.25">
      <c r="C811" s="2"/>
      <c r="H811" s="2"/>
    </row>
    <row r="812" spans="3:8" ht="15.75" customHeight="1" x14ac:dyDescent="0.25">
      <c r="C812" s="2"/>
      <c r="H812" s="2"/>
    </row>
    <row r="813" spans="3:8" ht="15.75" customHeight="1" x14ac:dyDescent="0.25">
      <c r="C813" s="2"/>
      <c r="H813" s="2"/>
    </row>
    <row r="814" spans="3:8" ht="15.75" customHeight="1" x14ac:dyDescent="0.25">
      <c r="C814" s="2"/>
      <c r="H814" s="2"/>
    </row>
    <row r="815" spans="3:8" ht="15.75" customHeight="1" x14ac:dyDescent="0.25">
      <c r="C815" s="2"/>
      <c r="H815" s="2"/>
    </row>
    <row r="816" spans="3:8" ht="15.75" customHeight="1" x14ac:dyDescent="0.25">
      <c r="C816" s="2"/>
      <c r="H816" s="2"/>
    </row>
    <row r="817" spans="3:8" ht="15.75" customHeight="1" x14ac:dyDescent="0.25">
      <c r="C817" s="2"/>
      <c r="H817" s="2"/>
    </row>
    <row r="818" spans="3:8" ht="15.75" customHeight="1" x14ac:dyDescent="0.25">
      <c r="C818" s="2"/>
      <c r="H818" s="2"/>
    </row>
    <row r="819" spans="3:8" ht="15.75" customHeight="1" x14ac:dyDescent="0.25">
      <c r="C819" s="2"/>
      <c r="H819" s="2"/>
    </row>
    <row r="820" spans="3:8" ht="15.75" customHeight="1" x14ac:dyDescent="0.25">
      <c r="C820" s="2"/>
      <c r="H820" s="2"/>
    </row>
    <row r="821" spans="3:8" ht="15.75" customHeight="1" x14ac:dyDescent="0.25">
      <c r="C821" s="2"/>
      <c r="H821" s="2"/>
    </row>
    <row r="822" spans="3:8" ht="15.75" customHeight="1" x14ac:dyDescent="0.25">
      <c r="C822" s="2"/>
      <c r="H822" s="2"/>
    </row>
    <row r="823" spans="3:8" ht="15.75" customHeight="1" x14ac:dyDescent="0.25">
      <c r="C823" s="2"/>
      <c r="H823" s="2"/>
    </row>
    <row r="824" spans="3:8" ht="15.75" customHeight="1" x14ac:dyDescent="0.25">
      <c r="C824" s="2"/>
      <c r="H824" s="2"/>
    </row>
    <row r="825" spans="3:8" ht="15.75" customHeight="1" x14ac:dyDescent="0.25">
      <c r="C825" s="2"/>
      <c r="H825" s="2"/>
    </row>
    <row r="826" spans="3:8" ht="15.75" customHeight="1" x14ac:dyDescent="0.25">
      <c r="C826" s="2"/>
      <c r="H826" s="2"/>
    </row>
    <row r="827" spans="3:8" ht="15.75" customHeight="1" x14ac:dyDescent="0.25">
      <c r="C827" s="2"/>
      <c r="H827" s="2"/>
    </row>
    <row r="828" spans="3:8" ht="15.75" customHeight="1" x14ac:dyDescent="0.25">
      <c r="C828" s="2"/>
      <c r="H828" s="2"/>
    </row>
    <row r="829" spans="3:8" ht="15.75" customHeight="1" x14ac:dyDescent="0.25">
      <c r="C829" s="2"/>
      <c r="H829" s="2"/>
    </row>
    <row r="830" spans="3:8" ht="15.75" customHeight="1" x14ac:dyDescent="0.25">
      <c r="C830" s="2"/>
      <c r="H830" s="2"/>
    </row>
    <row r="831" spans="3:8" ht="15.75" customHeight="1" x14ac:dyDescent="0.25">
      <c r="C831" s="2"/>
      <c r="H831" s="2"/>
    </row>
    <row r="832" spans="3:8" ht="15.75" customHeight="1" x14ac:dyDescent="0.25">
      <c r="C832" s="2"/>
      <c r="H832" s="2"/>
    </row>
    <row r="833" spans="3:8" ht="15.75" customHeight="1" x14ac:dyDescent="0.25">
      <c r="C833" s="2"/>
      <c r="H833" s="2"/>
    </row>
    <row r="834" spans="3:8" ht="15.75" customHeight="1" x14ac:dyDescent="0.25">
      <c r="C834" s="2"/>
      <c r="H834" s="2"/>
    </row>
    <row r="835" spans="3:8" ht="15.75" customHeight="1" x14ac:dyDescent="0.25">
      <c r="C835" s="2"/>
      <c r="H835" s="2"/>
    </row>
    <row r="836" spans="3:8" ht="15.75" customHeight="1" x14ac:dyDescent="0.25">
      <c r="C836" s="2"/>
      <c r="H836" s="2"/>
    </row>
    <row r="837" spans="3:8" ht="15.75" customHeight="1" x14ac:dyDescent="0.25">
      <c r="C837" s="2"/>
      <c r="H837" s="2"/>
    </row>
    <row r="838" spans="3:8" ht="15.75" customHeight="1" x14ac:dyDescent="0.25">
      <c r="C838" s="2"/>
      <c r="H838" s="2"/>
    </row>
    <row r="839" spans="3:8" ht="15.75" customHeight="1" x14ac:dyDescent="0.25">
      <c r="C839" s="2"/>
      <c r="H839" s="2"/>
    </row>
    <row r="840" spans="3:8" ht="15.75" customHeight="1" x14ac:dyDescent="0.25">
      <c r="C840" s="2"/>
      <c r="H840" s="2"/>
    </row>
    <row r="841" spans="3:8" ht="15.75" customHeight="1" x14ac:dyDescent="0.25">
      <c r="C841" s="2"/>
      <c r="H841" s="2"/>
    </row>
    <row r="842" spans="3:8" ht="15.75" customHeight="1" x14ac:dyDescent="0.25">
      <c r="C842" s="2"/>
      <c r="H842" s="2"/>
    </row>
    <row r="843" spans="3:8" ht="15.75" customHeight="1" x14ac:dyDescent="0.25">
      <c r="C843" s="2"/>
      <c r="H843" s="2"/>
    </row>
    <row r="844" spans="3:8" ht="15.75" customHeight="1" x14ac:dyDescent="0.25">
      <c r="C844" s="2"/>
      <c r="H844" s="2"/>
    </row>
    <row r="845" spans="3:8" ht="15.75" customHeight="1" x14ac:dyDescent="0.25">
      <c r="C845" s="2"/>
      <c r="H845" s="2"/>
    </row>
    <row r="846" spans="3:8" ht="15.75" customHeight="1" x14ac:dyDescent="0.25">
      <c r="C846" s="2"/>
      <c r="H846" s="2"/>
    </row>
    <row r="847" spans="3:8" ht="15.75" customHeight="1" x14ac:dyDescent="0.25">
      <c r="C847" s="2"/>
      <c r="H847" s="2"/>
    </row>
    <row r="848" spans="3:8" ht="15.75" customHeight="1" x14ac:dyDescent="0.25">
      <c r="C848" s="2"/>
      <c r="H848" s="2"/>
    </row>
    <row r="849" spans="3:8" ht="15.75" customHeight="1" x14ac:dyDescent="0.25">
      <c r="C849" s="2"/>
      <c r="H849" s="2"/>
    </row>
    <row r="850" spans="3:8" ht="15.75" customHeight="1" x14ac:dyDescent="0.25">
      <c r="C850" s="2"/>
      <c r="H850" s="2"/>
    </row>
    <row r="851" spans="3:8" ht="15.75" customHeight="1" x14ac:dyDescent="0.25">
      <c r="C851" s="2"/>
      <c r="H851" s="2"/>
    </row>
    <row r="852" spans="3:8" ht="15.75" customHeight="1" x14ac:dyDescent="0.25">
      <c r="C852" s="2"/>
      <c r="H852" s="2"/>
    </row>
    <row r="853" spans="3:8" ht="15.75" customHeight="1" x14ac:dyDescent="0.25">
      <c r="C853" s="2"/>
      <c r="H853" s="2"/>
    </row>
    <row r="854" spans="3:8" ht="15.75" customHeight="1" x14ac:dyDescent="0.25">
      <c r="C854" s="2"/>
      <c r="H854" s="2"/>
    </row>
    <row r="855" spans="3:8" ht="15.75" customHeight="1" x14ac:dyDescent="0.25">
      <c r="C855" s="2"/>
      <c r="H855" s="2"/>
    </row>
    <row r="856" spans="3:8" ht="15.75" customHeight="1" x14ac:dyDescent="0.25">
      <c r="C856" s="2"/>
      <c r="H856" s="2"/>
    </row>
    <row r="857" spans="3:8" ht="15.75" customHeight="1" x14ac:dyDescent="0.25">
      <c r="C857" s="2"/>
      <c r="H857" s="2"/>
    </row>
    <row r="858" spans="3:8" ht="15.75" customHeight="1" x14ac:dyDescent="0.25">
      <c r="C858" s="2"/>
      <c r="H858" s="2"/>
    </row>
    <row r="859" spans="3:8" ht="15.75" customHeight="1" x14ac:dyDescent="0.25">
      <c r="C859" s="2"/>
      <c r="H859" s="2"/>
    </row>
    <row r="860" spans="3:8" ht="15.75" customHeight="1" x14ac:dyDescent="0.25">
      <c r="C860" s="2"/>
      <c r="H860" s="2"/>
    </row>
    <row r="861" spans="3:8" ht="15.75" customHeight="1" x14ac:dyDescent="0.25">
      <c r="C861" s="2"/>
      <c r="H861" s="2"/>
    </row>
    <row r="862" spans="3:8" ht="15.75" customHeight="1" x14ac:dyDescent="0.25">
      <c r="C862" s="2"/>
      <c r="H862" s="2"/>
    </row>
    <row r="863" spans="3:8" ht="15.75" customHeight="1" x14ac:dyDescent="0.25">
      <c r="C863" s="2"/>
      <c r="H863" s="2"/>
    </row>
    <row r="864" spans="3:8" ht="15.75" customHeight="1" x14ac:dyDescent="0.25">
      <c r="C864" s="2"/>
      <c r="H864" s="2"/>
    </row>
    <row r="865" spans="3:8" ht="15.75" customHeight="1" x14ac:dyDescent="0.25">
      <c r="C865" s="2"/>
      <c r="H865" s="2"/>
    </row>
    <row r="866" spans="3:8" ht="15.75" customHeight="1" x14ac:dyDescent="0.25">
      <c r="C866" s="2"/>
      <c r="H866" s="2"/>
    </row>
    <row r="867" spans="3:8" ht="15.75" customHeight="1" x14ac:dyDescent="0.25">
      <c r="C867" s="2"/>
      <c r="H867" s="2"/>
    </row>
    <row r="868" spans="3:8" ht="15.75" customHeight="1" x14ac:dyDescent="0.25">
      <c r="C868" s="2"/>
      <c r="H868" s="2"/>
    </row>
    <row r="869" spans="3:8" ht="15.75" customHeight="1" x14ac:dyDescent="0.25">
      <c r="C869" s="2"/>
      <c r="H869" s="2"/>
    </row>
    <row r="870" spans="3:8" ht="15.75" customHeight="1" x14ac:dyDescent="0.25">
      <c r="C870" s="2"/>
      <c r="H870" s="2"/>
    </row>
    <row r="871" spans="3:8" ht="15.75" customHeight="1" x14ac:dyDescent="0.25">
      <c r="C871" s="2"/>
      <c r="H871" s="2"/>
    </row>
    <row r="872" spans="3:8" ht="15.75" customHeight="1" x14ac:dyDescent="0.25">
      <c r="C872" s="2"/>
      <c r="H872" s="2"/>
    </row>
    <row r="873" spans="3:8" ht="15.75" customHeight="1" x14ac:dyDescent="0.25">
      <c r="C873" s="2"/>
      <c r="H873" s="2"/>
    </row>
    <row r="874" spans="3:8" ht="15.75" customHeight="1" x14ac:dyDescent="0.25">
      <c r="C874" s="2"/>
      <c r="H874" s="2"/>
    </row>
    <row r="875" spans="3:8" ht="15.75" customHeight="1" x14ac:dyDescent="0.25">
      <c r="C875" s="2"/>
      <c r="H875" s="2"/>
    </row>
    <row r="876" spans="3:8" ht="15.75" customHeight="1" x14ac:dyDescent="0.25">
      <c r="C876" s="2"/>
      <c r="H876" s="2"/>
    </row>
    <row r="877" spans="3:8" ht="15.75" customHeight="1" x14ac:dyDescent="0.25">
      <c r="C877" s="2"/>
      <c r="H877" s="2"/>
    </row>
    <row r="878" spans="3:8" ht="15.75" customHeight="1" x14ac:dyDescent="0.25">
      <c r="C878" s="2"/>
      <c r="H878" s="2"/>
    </row>
    <row r="879" spans="3:8" ht="15.75" customHeight="1" x14ac:dyDescent="0.25">
      <c r="C879" s="2"/>
      <c r="H879" s="2"/>
    </row>
    <row r="880" spans="3:8" ht="15.75" customHeight="1" x14ac:dyDescent="0.25">
      <c r="C880" s="2"/>
      <c r="H880" s="2"/>
    </row>
    <row r="881" spans="3:8" ht="15.75" customHeight="1" x14ac:dyDescent="0.25">
      <c r="C881" s="2"/>
      <c r="H881" s="2"/>
    </row>
    <row r="882" spans="3:8" ht="15.75" customHeight="1" x14ac:dyDescent="0.25">
      <c r="C882" s="2"/>
      <c r="H882" s="2"/>
    </row>
    <row r="883" spans="3:8" ht="15.75" customHeight="1" x14ac:dyDescent="0.25">
      <c r="C883" s="2"/>
      <c r="H883" s="2"/>
    </row>
    <row r="884" spans="3:8" ht="15.75" customHeight="1" x14ac:dyDescent="0.25">
      <c r="C884" s="2"/>
      <c r="H884" s="2"/>
    </row>
    <row r="885" spans="3:8" ht="15.75" customHeight="1" x14ac:dyDescent="0.25">
      <c r="C885" s="2"/>
      <c r="H885" s="2"/>
    </row>
    <row r="886" spans="3:8" ht="15.75" customHeight="1" x14ac:dyDescent="0.25">
      <c r="C886" s="2"/>
      <c r="H886" s="2"/>
    </row>
    <row r="887" spans="3:8" ht="15.75" customHeight="1" x14ac:dyDescent="0.25">
      <c r="C887" s="2"/>
      <c r="H887" s="2"/>
    </row>
    <row r="888" spans="3:8" ht="15.75" customHeight="1" x14ac:dyDescent="0.25">
      <c r="C888" s="2"/>
      <c r="H888" s="2"/>
    </row>
    <row r="889" spans="3:8" ht="15.75" customHeight="1" x14ac:dyDescent="0.25">
      <c r="C889" s="2"/>
      <c r="H889" s="2"/>
    </row>
    <row r="890" spans="3:8" ht="15.75" customHeight="1" x14ac:dyDescent="0.25">
      <c r="C890" s="2"/>
      <c r="H890" s="2"/>
    </row>
    <row r="891" spans="3:8" ht="15.75" customHeight="1" x14ac:dyDescent="0.25">
      <c r="C891" s="2"/>
      <c r="H891" s="2"/>
    </row>
    <row r="892" spans="3:8" ht="15.75" customHeight="1" x14ac:dyDescent="0.25">
      <c r="C892" s="2"/>
      <c r="H892" s="2"/>
    </row>
    <row r="893" spans="3:8" ht="15.75" customHeight="1" x14ac:dyDescent="0.25">
      <c r="C893" s="2"/>
      <c r="H893" s="2"/>
    </row>
    <row r="894" spans="3:8" ht="15.75" customHeight="1" x14ac:dyDescent="0.25">
      <c r="C894" s="2"/>
      <c r="H894" s="2"/>
    </row>
    <row r="895" spans="3:8" ht="15.75" customHeight="1" x14ac:dyDescent="0.25">
      <c r="C895" s="2"/>
      <c r="H895" s="2"/>
    </row>
    <row r="896" spans="3:8" ht="15.75" customHeight="1" x14ac:dyDescent="0.25">
      <c r="C896" s="2"/>
      <c r="H896" s="2"/>
    </row>
    <row r="897" spans="3:8" ht="15.75" customHeight="1" x14ac:dyDescent="0.25">
      <c r="C897" s="2"/>
      <c r="H897" s="2"/>
    </row>
    <row r="898" spans="3:8" ht="15.75" customHeight="1" x14ac:dyDescent="0.25">
      <c r="C898" s="2"/>
      <c r="H898" s="2"/>
    </row>
    <row r="899" spans="3:8" ht="15.75" customHeight="1" x14ac:dyDescent="0.25">
      <c r="C899" s="2"/>
      <c r="H899" s="2"/>
    </row>
    <row r="900" spans="3:8" ht="15.75" customHeight="1" x14ac:dyDescent="0.25">
      <c r="C900" s="2"/>
      <c r="H900" s="2"/>
    </row>
    <row r="901" spans="3:8" ht="15.75" customHeight="1" x14ac:dyDescent="0.25">
      <c r="C901" s="2"/>
      <c r="H901" s="2"/>
    </row>
    <row r="902" spans="3:8" ht="15.75" customHeight="1" x14ac:dyDescent="0.25">
      <c r="C902" s="2"/>
      <c r="H902" s="2"/>
    </row>
    <row r="903" spans="3:8" ht="15.75" customHeight="1" x14ac:dyDescent="0.25">
      <c r="C903" s="2"/>
      <c r="H903" s="2"/>
    </row>
    <row r="904" spans="3:8" ht="15.75" customHeight="1" x14ac:dyDescent="0.25">
      <c r="C904" s="2"/>
      <c r="H904" s="2"/>
    </row>
    <row r="905" spans="3:8" ht="15.75" customHeight="1" x14ac:dyDescent="0.25">
      <c r="C905" s="2"/>
      <c r="H905" s="2"/>
    </row>
    <row r="906" spans="3:8" ht="15.75" customHeight="1" x14ac:dyDescent="0.25">
      <c r="C906" s="2"/>
      <c r="H906" s="2"/>
    </row>
    <row r="907" spans="3:8" ht="15.75" customHeight="1" x14ac:dyDescent="0.25">
      <c r="C907" s="2"/>
      <c r="H907" s="2"/>
    </row>
    <row r="908" spans="3:8" ht="15.75" customHeight="1" x14ac:dyDescent="0.25">
      <c r="C908" s="2"/>
      <c r="H908" s="2"/>
    </row>
    <row r="909" spans="3:8" ht="15.75" customHeight="1" x14ac:dyDescent="0.25">
      <c r="C909" s="2"/>
      <c r="H909" s="2"/>
    </row>
    <row r="910" spans="3:8" ht="15.75" customHeight="1" x14ac:dyDescent="0.25">
      <c r="C910" s="2"/>
      <c r="H910" s="2"/>
    </row>
    <row r="911" spans="3:8" ht="15.75" customHeight="1" x14ac:dyDescent="0.25">
      <c r="C911" s="2"/>
      <c r="H911" s="2"/>
    </row>
    <row r="912" spans="3:8" ht="15.75" customHeight="1" x14ac:dyDescent="0.25">
      <c r="C912" s="2"/>
      <c r="H912" s="2"/>
    </row>
    <row r="913" spans="3:8" ht="15.75" customHeight="1" x14ac:dyDescent="0.25">
      <c r="C913" s="2"/>
      <c r="H913" s="2"/>
    </row>
    <row r="914" spans="3:8" ht="15.75" customHeight="1" x14ac:dyDescent="0.25">
      <c r="C914" s="2"/>
      <c r="H914" s="2"/>
    </row>
    <row r="915" spans="3:8" ht="15.75" customHeight="1" x14ac:dyDescent="0.25">
      <c r="C915" s="2"/>
      <c r="H915" s="2"/>
    </row>
    <row r="916" spans="3:8" ht="15.75" customHeight="1" x14ac:dyDescent="0.25">
      <c r="C916" s="2"/>
      <c r="H916" s="2"/>
    </row>
    <row r="917" spans="3:8" ht="15.75" customHeight="1" x14ac:dyDescent="0.25">
      <c r="C917" s="2"/>
      <c r="H917" s="2"/>
    </row>
    <row r="918" spans="3:8" ht="15.75" customHeight="1" x14ac:dyDescent="0.25">
      <c r="C918" s="2"/>
      <c r="H918" s="2"/>
    </row>
    <row r="919" spans="3:8" ht="15.75" customHeight="1" x14ac:dyDescent="0.25">
      <c r="C919" s="2"/>
      <c r="H919" s="2"/>
    </row>
    <row r="920" spans="3:8" ht="15.75" customHeight="1" x14ac:dyDescent="0.25">
      <c r="C920" s="2"/>
      <c r="H920" s="2"/>
    </row>
    <row r="921" spans="3:8" ht="15.75" customHeight="1" x14ac:dyDescent="0.25">
      <c r="C921" s="2"/>
      <c r="H921" s="2"/>
    </row>
    <row r="922" spans="3:8" ht="15.75" customHeight="1" x14ac:dyDescent="0.25">
      <c r="C922" s="2"/>
      <c r="H922" s="2"/>
    </row>
    <row r="923" spans="3:8" ht="15.75" customHeight="1" x14ac:dyDescent="0.25">
      <c r="C923" s="2"/>
      <c r="H923" s="2"/>
    </row>
    <row r="924" spans="3:8" ht="15.75" customHeight="1" x14ac:dyDescent="0.25">
      <c r="C924" s="2"/>
      <c r="H924" s="2"/>
    </row>
    <row r="925" spans="3:8" ht="15.75" customHeight="1" x14ac:dyDescent="0.25">
      <c r="C925" s="2"/>
      <c r="H925" s="2"/>
    </row>
    <row r="926" spans="3:8" ht="15.75" customHeight="1" x14ac:dyDescent="0.25">
      <c r="C926" s="2"/>
      <c r="H926" s="2"/>
    </row>
    <row r="927" spans="3:8" ht="15.75" customHeight="1" x14ac:dyDescent="0.25">
      <c r="C927" s="2"/>
      <c r="H927" s="2"/>
    </row>
    <row r="928" spans="3:8" ht="15.75" customHeight="1" x14ac:dyDescent="0.25">
      <c r="C928" s="2"/>
      <c r="H928" s="2"/>
    </row>
    <row r="929" spans="3:8" ht="15.75" customHeight="1" x14ac:dyDescent="0.25">
      <c r="C929" s="2"/>
      <c r="H929" s="2"/>
    </row>
    <row r="930" spans="3:8" ht="15.75" customHeight="1" x14ac:dyDescent="0.25">
      <c r="C930" s="2"/>
      <c r="H930" s="2"/>
    </row>
    <row r="931" spans="3:8" ht="15.75" customHeight="1" x14ac:dyDescent="0.25">
      <c r="C931" s="2"/>
      <c r="H931" s="2"/>
    </row>
    <row r="932" spans="3:8" ht="15.75" customHeight="1" x14ac:dyDescent="0.25">
      <c r="C932" s="2"/>
      <c r="H932" s="2"/>
    </row>
    <row r="933" spans="3:8" ht="15.75" customHeight="1" x14ac:dyDescent="0.25">
      <c r="C933" s="2"/>
      <c r="H933" s="2"/>
    </row>
    <row r="934" spans="3:8" ht="15.75" customHeight="1" x14ac:dyDescent="0.25">
      <c r="C934" s="2"/>
      <c r="H934" s="2"/>
    </row>
    <row r="935" spans="3:8" ht="15.75" customHeight="1" x14ac:dyDescent="0.25">
      <c r="C935" s="2"/>
      <c r="H935" s="2"/>
    </row>
    <row r="936" spans="3:8" ht="15.75" customHeight="1" x14ac:dyDescent="0.25">
      <c r="C936" s="2"/>
      <c r="H936" s="2"/>
    </row>
    <row r="937" spans="3:8" ht="15.75" customHeight="1" x14ac:dyDescent="0.25">
      <c r="C937" s="2"/>
      <c r="H937" s="2"/>
    </row>
    <row r="938" spans="3:8" ht="15.75" customHeight="1" x14ac:dyDescent="0.25">
      <c r="C938" s="2"/>
      <c r="H938" s="2"/>
    </row>
    <row r="939" spans="3:8" ht="15.75" customHeight="1" x14ac:dyDescent="0.25">
      <c r="C939" s="2"/>
      <c r="H939" s="2"/>
    </row>
    <row r="940" spans="3:8" ht="15.75" customHeight="1" x14ac:dyDescent="0.25">
      <c r="C940" s="2"/>
      <c r="H940" s="2"/>
    </row>
    <row r="941" spans="3:8" ht="15.75" customHeight="1" x14ac:dyDescent="0.25">
      <c r="C941" s="2"/>
      <c r="H941" s="2"/>
    </row>
    <row r="942" spans="3:8" ht="15.75" customHeight="1" x14ac:dyDescent="0.25">
      <c r="C942" s="2"/>
      <c r="H942" s="2"/>
    </row>
    <row r="943" spans="3:8" ht="15.75" customHeight="1" x14ac:dyDescent="0.25">
      <c r="C943" s="2"/>
      <c r="H943" s="2"/>
    </row>
    <row r="944" spans="3:8" ht="15.75" customHeight="1" x14ac:dyDescent="0.25">
      <c r="C944" s="2"/>
      <c r="H944" s="2"/>
    </row>
    <row r="945" spans="3:8" ht="15.75" customHeight="1" x14ac:dyDescent="0.25">
      <c r="C945" s="2"/>
      <c r="H945" s="2"/>
    </row>
    <row r="946" spans="3:8" ht="15.75" customHeight="1" x14ac:dyDescent="0.25">
      <c r="C946" s="2"/>
      <c r="H946" s="2"/>
    </row>
    <row r="947" spans="3:8" ht="15.75" customHeight="1" x14ac:dyDescent="0.25">
      <c r="C947" s="2"/>
      <c r="H947" s="2"/>
    </row>
    <row r="948" spans="3:8" ht="15.75" customHeight="1" x14ac:dyDescent="0.25">
      <c r="C948" s="2"/>
      <c r="H948" s="2"/>
    </row>
    <row r="949" spans="3:8" ht="15.75" customHeight="1" x14ac:dyDescent="0.25">
      <c r="C949" s="2"/>
      <c r="H949" s="2"/>
    </row>
    <row r="950" spans="3:8" ht="15.75" customHeight="1" x14ac:dyDescent="0.25">
      <c r="C950" s="2"/>
      <c r="H950" s="2"/>
    </row>
    <row r="951" spans="3:8" ht="15.75" customHeight="1" x14ac:dyDescent="0.25">
      <c r="C951" s="2"/>
      <c r="H951" s="2"/>
    </row>
    <row r="952" spans="3:8" ht="15.75" customHeight="1" x14ac:dyDescent="0.25">
      <c r="C952" s="2"/>
      <c r="H952" s="2"/>
    </row>
    <row r="953" spans="3:8" ht="15.75" customHeight="1" x14ac:dyDescent="0.25">
      <c r="C953" s="2"/>
      <c r="H953" s="2"/>
    </row>
    <row r="954" spans="3:8" ht="15.75" customHeight="1" x14ac:dyDescent="0.25">
      <c r="C954" s="2"/>
      <c r="H954" s="2"/>
    </row>
    <row r="955" spans="3:8" ht="15.75" customHeight="1" x14ac:dyDescent="0.25">
      <c r="C955" s="2"/>
      <c r="H955" s="2"/>
    </row>
    <row r="956" spans="3:8" ht="15.75" customHeight="1" x14ac:dyDescent="0.25">
      <c r="C956" s="2"/>
      <c r="H956" s="2"/>
    </row>
    <row r="957" spans="3:8" ht="15.75" customHeight="1" x14ac:dyDescent="0.25">
      <c r="C957" s="2"/>
      <c r="H957" s="2"/>
    </row>
    <row r="958" spans="3:8" ht="15.75" customHeight="1" x14ac:dyDescent="0.25">
      <c r="C958" s="2"/>
      <c r="H958" s="2"/>
    </row>
    <row r="959" spans="3:8" ht="15.75" customHeight="1" x14ac:dyDescent="0.25">
      <c r="C959" s="2"/>
      <c r="H959" s="2"/>
    </row>
    <row r="960" spans="3:8" ht="15.75" customHeight="1" x14ac:dyDescent="0.25">
      <c r="C960" s="2"/>
      <c r="H960" s="2"/>
    </row>
    <row r="961" spans="3:8" ht="15.75" customHeight="1" x14ac:dyDescent="0.25">
      <c r="C961" s="2"/>
      <c r="H961" s="2"/>
    </row>
    <row r="962" spans="3:8" ht="15.75" customHeight="1" x14ac:dyDescent="0.25">
      <c r="C962" s="2"/>
      <c r="H962" s="2"/>
    </row>
    <row r="963" spans="3:8" ht="15.75" customHeight="1" x14ac:dyDescent="0.25">
      <c r="C963" s="2"/>
      <c r="H963" s="2"/>
    </row>
    <row r="964" spans="3:8" ht="15.75" customHeight="1" x14ac:dyDescent="0.25">
      <c r="C964" s="2"/>
      <c r="H964" s="2"/>
    </row>
    <row r="965" spans="3:8" ht="15.75" customHeight="1" x14ac:dyDescent="0.25">
      <c r="C965" s="2"/>
      <c r="H965" s="2"/>
    </row>
    <row r="966" spans="3:8" ht="15.75" customHeight="1" x14ac:dyDescent="0.25">
      <c r="C966" s="2"/>
      <c r="H966" s="2"/>
    </row>
    <row r="967" spans="3:8" ht="15.75" customHeight="1" x14ac:dyDescent="0.25">
      <c r="C967" s="2"/>
      <c r="H967" s="2"/>
    </row>
    <row r="968" spans="3:8" ht="15.75" customHeight="1" x14ac:dyDescent="0.25">
      <c r="C968" s="2"/>
      <c r="H968" s="2"/>
    </row>
    <row r="969" spans="3:8" ht="15.75" customHeight="1" x14ac:dyDescent="0.25">
      <c r="C969" s="2"/>
      <c r="H969" s="2"/>
    </row>
    <row r="970" spans="3:8" ht="15.75" customHeight="1" x14ac:dyDescent="0.25">
      <c r="C970" s="2"/>
      <c r="H970" s="2"/>
    </row>
    <row r="971" spans="3:8" ht="15.75" customHeight="1" x14ac:dyDescent="0.25">
      <c r="C971" s="2"/>
      <c r="H971" s="2"/>
    </row>
    <row r="972" spans="3:8" ht="15.75" customHeight="1" x14ac:dyDescent="0.25">
      <c r="C972" s="2"/>
      <c r="H972" s="2"/>
    </row>
    <row r="973" spans="3:8" ht="15.75" customHeight="1" x14ac:dyDescent="0.25">
      <c r="C973" s="2"/>
      <c r="H973" s="2"/>
    </row>
    <row r="974" spans="3:8" ht="15.75" customHeight="1" x14ac:dyDescent="0.25">
      <c r="C974" s="2"/>
      <c r="H974" s="2"/>
    </row>
    <row r="975" spans="3:8" ht="15.75" customHeight="1" x14ac:dyDescent="0.25">
      <c r="C975" s="2"/>
      <c r="H975" s="2"/>
    </row>
    <row r="976" spans="3:8" ht="15.75" customHeight="1" x14ac:dyDescent="0.25">
      <c r="C976" s="2"/>
      <c r="H976" s="2"/>
    </row>
    <row r="977" spans="3:8" ht="15.75" customHeight="1" x14ac:dyDescent="0.25">
      <c r="C977" s="2"/>
      <c r="H977" s="2"/>
    </row>
    <row r="978" spans="3:8" ht="15.75" customHeight="1" x14ac:dyDescent="0.25">
      <c r="C978" s="2"/>
      <c r="H978" s="2"/>
    </row>
    <row r="979" spans="3:8" ht="15.75" customHeight="1" x14ac:dyDescent="0.25">
      <c r="C979" s="2"/>
      <c r="H979" s="2"/>
    </row>
    <row r="980" spans="3:8" ht="15.75" customHeight="1" x14ac:dyDescent="0.25">
      <c r="C980" s="2"/>
      <c r="H980" s="2"/>
    </row>
    <row r="981" spans="3:8" ht="15.75" customHeight="1" x14ac:dyDescent="0.25">
      <c r="C981" s="2"/>
      <c r="H981" s="2"/>
    </row>
    <row r="982" spans="3:8" ht="15.75" customHeight="1" x14ac:dyDescent="0.25">
      <c r="C982" s="2"/>
      <c r="H982" s="2"/>
    </row>
    <row r="983" spans="3:8" ht="15.75" customHeight="1" x14ac:dyDescent="0.25">
      <c r="C983" s="2"/>
      <c r="H983" s="2"/>
    </row>
    <row r="984" spans="3:8" ht="15.75" customHeight="1" x14ac:dyDescent="0.25">
      <c r="C984" s="2"/>
      <c r="H984" s="2"/>
    </row>
    <row r="985" spans="3:8" ht="15.75" customHeight="1" x14ac:dyDescent="0.25">
      <c r="C985" s="2"/>
      <c r="H985" s="2"/>
    </row>
    <row r="986" spans="3:8" ht="15.75" customHeight="1" x14ac:dyDescent="0.25">
      <c r="C986" s="2"/>
      <c r="H986" s="2"/>
    </row>
    <row r="987" spans="3:8" ht="15.75" customHeight="1" x14ac:dyDescent="0.25">
      <c r="C987" s="2"/>
      <c r="H987" s="2"/>
    </row>
    <row r="988" spans="3:8" ht="15.75" customHeight="1" x14ac:dyDescent="0.25">
      <c r="C988" s="2"/>
      <c r="H988" s="2"/>
    </row>
    <row r="989" spans="3:8" ht="15.75" customHeight="1" x14ac:dyDescent="0.25">
      <c r="C989" s="2"/>
      <c r="H989" s="2"/>
    </row>
    <row r="990" spans="3:8" ht="15.75" customHeight="1" x14ac:dyDescent="0.25">
      <c r="C990" s="2"/>
      <c r="H990" s="2"/>
    </row>
    <row r="991" spans="3:8" ht="15.75" customHeight="1" x14ac:dyDescent="0.25">
      <c r="C991" s="2"/>
      <c r="H991" s="2"/>
    </row>
    <row r="992" spans="3:8" ht="15.75" customHeight="1" x14ac:dyDescent="0.25">
      <c r="C992" s="2"/>
      <c r="H992" s="2"/>
    </row>
    <row r="993" spans="3:8" ht="15.75" customHeight="1" x14ac:dyDescent="0.25">
      <c r="C993" s="2"/>
      <c r="H993" s="2"/>
    </row>
    <row r="994" spans="3:8" ht="15.75" customHeight="1" x14ac:dyDescent="0.25">
      <c r="C994" s="2"/>
      <c r="H994" s="2"/>
    </row>
    <row r="995" spans="3:8" ht="15.75" customHeight="1" x14ac:dyDescent="0.25">
      <c r="C995" s="2"/>
      <c r="H995" s="2"/>
    </row>
    <row r="996" spans="3:8" ht="15.75" customHeight="1" x14ac:dyDescent="0.25">
      <c r="C996" s="2"/>
      <c r="H996" s="2"/>
    </row>
    <row r="997" spans="3:8" ht="15.75" customHeight="1" x14ac:dyDescent="0.25">
      <c r="C997" s="2"/>
      <c r="H997" s="2"/>
    </row>
    <row r="998" spans="3:8" ht="15.75" customHeight="1" x14ac:dyDescent="0.25">
      <c r="C998" s="2"/>
      <c r="H998" s="2"/>
    </row>
    <row r="999" spans="3:8" ht="15.75" customHeight="1" x14ac:dyDescent="0.25">
      <c r="C999" s="2"/>
      <c r="H999" s="2"/>
    </row>
    <row r="1000" spans="3:8" ht="15.75" customHeight="1" x14ac:dyDescent="0.25">
      <c r="C1000" s="2"/>
      <c r="H1000" s="2"/>
    </row>
  </sheetData>
  <mergeCells count="5">
    <mergeCell ref="B2:I2"/>
    <mergeCell ref="K2:M2"/>
    <mergeCell ref="P2:R2"/>
    <mergeCell ref="P14:R14"/>
    <mergeCell ref="K28:M28"/>
  </mergeCells>
  <pageMargins left="0.7" right="0.7" top="0.75" bottom="0.75" header="0" footer="0"/>
  <pageSetup orientation="portrait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topLeftCell="D1" workbookViewId="0">
      <selection activeCell="J8" sqref="J8"/>
    </sheetView>
  </sheetViews>
  <sheetFormatPr baseColWidth="10" defaultColWidth="14.42578125" defaultRowHeight="15" customHeight="1" x14ac:dyDescent="0.25"/>
  <cols>
    <col min="1" max="1" width="10.7109375" customWidth="1"/>
    <col min="2" max="2" width="28.42578125" customWidth="1"/>
    <col min="3" max="3" width="40.28515625" customWidth="1"/>
    <col min="4" max="4" width="24.5703125" customWidth="1"/>
    <col min="5" max="5" width="11.42578125" customWidth="1"/>
    <col min="6" max="6" width="22.28515625" customWidth="1"/>
    <col min="7" max="7" width="32.42578125" customWidth="1"/>
    <col min="8" max="8" width="11.85546875" customWidth="1"/>
    <col min="9" max="9" width="20.28515625" customWidth="1"/>
    <col min="10" max="10" width="22" customWidth="1"/>
    <col min="11" max="11" width="40.140625" customWidth="1"/>
    <col min="12" max="12" width="14" customWidth="1"/>
    <col min="13" max="13" width="10.7109375" customWidth="1"/>
    <col min="14" max="14" width="19.5703125" customWidth="1"/>
    <col min="15" max="15" width="22.28515625" customWidth="1"/>
    <col min="16" max="16" width="14" customWidth="1"/>
    <col min="17" max="26" width="10.7109375" customWidth="1"/>
  </cols>
  <sheetData>
    <row r="1" spans="2:16" x14ac:dyDescent="0.25">
      <c r="C1" s="2"/>
      <c r="F1" s="2"/>
      <c r="L1" s="3"/>
    </row>
    <row r="2" spans="2:16" x14ac:dyDescent="0.25">
      <c r="B2" s="105" t="s">
        <v>290</v>
      </c>
      <c r="C2" s="106"/>
      <c r="D2" s="106"/>
      <c r="E2" s="106"/>
      <c r="F2" s="106"/>
      <c r="G2" s="107"/>
      <c r="I2" s="105" t="s">
        <v>11</v>
      </c>
      <c r="J2" s="106"/>
      <c r="K2" s="107"/>
      <c r="L2" s="3"/>
      <c r="N2" s="105" t="s">
        <v>12</v>
      </c>
      <c r="O2" s="106"/>
      <c r="P2" s="107"/>
    </row>
    <row r="3" spans="2:16" x14ac:dyDescent="0.25">
      <c r="B3" s="4" t="s">
        <v>13</v>
      </c>
      <c r="C3" s="4" t="s">
        <v>14</v>
      </c>
      <c r="D3" s="4" t="s">
        <v>15</v>
      </c>
      <c r="E3" s="4" t="s">
        <v>16</v>
      </c>
      <c r="F3" s="5" t="s">
        <v>19</v>
      </c>
      <c r="G3" s="6" t="s">
        <v>20</v>
      </c>
      <c r="I3" s="6" t="s">
        <v>15</v>
      </c>
      <c r="J3" s="7" t="s">
        <v>21</v>
      </c>
      <c r="K3" s="7" t="s">
        <v>22</v>
      </c>
      <c r="L3" s="3"/>
      <c r="N3" s="6" t="s">
        <v>16</v>
      </c>
      <c r="O3" s="7" t="s">
        <v>21</v>
      </c>
      <c r="P3" s="7" t="s">
        <v>22</v>
      </c>
    </row>
    <row r="4" spans="2:16" x14ac:dyDescent="0.25">
      <c r="B4" s="8" t="s">
        <v>23</v>
      </c>
      <c r="C4" s="9"/>
      <c r="D4" s="10"/>
      <c r="E4" s="11"/>
      <c r="F4" s="12"/>
      <c r="G4" s="8"/>
      <c r="I4" s="8" t="s">
        <v>24</v>
      </c>
      <c r="J4" s="12">
        <f t="shared" ref="J4:J27" si="0">SUMIF(D$4:D$152,I4,F$4:F$152)</f>
        <v>4302000</v>
      </c>
      <c r="K4" s="13">
        <f t="shared" ref="K4:K27" si="1">J4/J$28</f>
        <v>0.55767127261828864</v>
      </c>
      <c r="L4" s="3"/>
      <c r="N4" s="8" t="s">
        <v>25</v>
      </c>
      <c r="O4" s="12">
        <f t="shared" ref="O4:O11" si="2">SUMIF(E$4:E$152,N4,F$4:F$152)</f>
        <v>5885292</v>
      </c>
      <c r="P4" s="13">
        <f t="shared" ref="P4:P11" si="3">O4/O$12</f>
        <v>0.76316184634249007</v>
      </c>
    </row>
    <row r="5" spans="2:16" x14ac:dyDescent="0.25">
      <c r="B5" s="8" t="s">
        <v>26</v>
      </c>
      <c r="C5" s="9" t="s">
        <v>291</v>
      </c>
      <c r="D5" s="10" t="s">
        <v>28</v>
      </c>
      <c r="E5" s="11" t="s">
        <v>25</v>
      </c>
      <c r="F5" s="14" t="s">
        <v>29</v>
      </c>
      <c r="G5" s="14">
        <v>9000</v>
      </c>
      <c r="I5" s="8" t="s">
        <v>28</v>
      </c>
      <c r="J5" s="12">
        <f t="shared" si="0"/>
        <v>0</v>
      </c>
      <c r="K5" s="13">
        <f t="shared" si="1"/>
        <v>0</v>
      </c>
      <c r="L5" s="3"/>
      <c r="N5" s="8" t="s">
        <v>30</v>
      </c>
      <c r="O5" s="12">
        <f t="shared" si="2"/>
        <v>74800</v>
      </c>
      <c r="P5" s="13">
        <f t="shared" si="3"/>
        <v>9.6995197700332041E-3</v>
      </c>
    </row>
    <row r="6" spans="2:16" x14ac:dyDescent="0.25">
      <c r="B6" s="8" t="s">
        <v>34</v>
      </c>
      <c r="C6" s="9" t="s">
        <v>291</v>
      </c>
      <c r="D6" s="10" t="s">
        <v>292</v>
      </c>
      <c r="E6" s="11" t="s">
        <v>25</v>
      </c>
      <c r="F6" s="14" t="s">
        <v>29</v>
      </c>
      <c r="G6" s="14">
        <v>28000</v>
      </c>
      <c r="I6" s="8" t="s">
        <v>32</v>
      </c>
      <c r="J6" s="12">
        <f t="shared" si="0"/>
        <v>0</v>
      </c>
      <c r="K6" s="13">
        <f t="shared" si="1"/>
        <v>0</v>
      </c>
      <c r="L6" s="3"/>
      <c r="N6" s="8" t="s">
        <v>33</v>
      </c>
      <c r="O6" s="12">
        <f t="shared" si="2"/>
        <v>205000</v>
      </c>
      <c r="P6" s="13">
        <f t="shared" si="3"/>
        <v>2.6582908460652498E-2</v>
      </c>
    </row>
    <row r="7" spans="2:16" x14ac:dyDescent="0.25">
      <c r="B7" s="8" t="s">
        <v>31</v>
      </c>
      <c r="C7" s="9" t="s">
        <v>291</v>
      </c>
      <c r="D7" s="10" t="s">
        <v>28</v>
      </c>
      <c r="E7" s="11" t="s">
        <v>25</v>
      </c>
      <c r="F7" s="14" t="s">
        <v>29</v>
      </c>
      <c r="G7" s="14">
        <v>6000</v>
      </c>
      <c r="I7" s="8" t="s">
        <v>293</v>
      </c>
      <c r="J7" s="12">
        <f t="shared" si="0"/>
        <v>0</v>
      </c>
      <c r="K7" s="13">
        <f t="shared" si="1"/>
        <v>0</v>
      </c>
      <c r="L7" s="3"/>
      <c r="N7" s="8" t="s">
        <v>36</v>
      </c>
      <c r="O7" s="12">
        <f t="shared" si="2"/>
        <v>25730</v>
      </c>
      <c r="P7" s="13">
        <f t="shared" si="3"/>
        <v>3.336479193622384E-3</v>
      </c>
    </row>
    <row r="8" spans="2:16" x14ac:dyDescent="0.25">
      <c r="B8" s="8" t="s">
        <v>37</v>
      </c>
      <c r="C8" s="9"/>
      <c r="D8" s="10"/>
      <c r="E8" s="11"/>
      <c r="F8" s="12"/>
      <c r="G8" s="8"/>
      <c r="I8" s="8" t="s">
        <v>35</v>
      </c>
      <c r="J8" s="12">
        <f t="shared" si="0"/>
        <v>246700</v>
      </c>
      <c r="K8" s="13">
        <f t="shared" si="1"/>
        <v>3.1979893759863279E-2</v>
      </c>
      <c r="L8" s="3"/>
      <c r="N8" s="8" t="s">
        <v>39</v>
      </c>
      <c r="O8" s="12">
        <f t="shared" si="2"/>
        <v>872900</v>
      </c>
      <c r="P8" s="13">
        <f t="shared" si="3"/>
        <v>0.11319132095270032</v>
      </c>
    </row>
    <row r="9" spans="2:16" x14ac:dyDescent="0.25">
      <c r="B9" s="8" t="s">
        <v>40</v>
      </c>
      <c r="C9" s="9" t="s">
        <v>41</v>
      </c>
      <c r="D9" s="10" t="s">
        <v>35</v>
      </c>
      <c r="E9" s="11" t="s">
        <v>25</v>
      </c>
      <c r="F9" s="15" t="s">
        <v>42</v>
      </c>
      <c r="G9" s="15">
        <v>18000</v>
      </c>
      <c r="I9" s="8" t="s">
        <v>38</v>
      </c>
      <c r="J9" s="12">
        <f t="shared" si="0"/>
        <v>59000</v>
      </c>
      <c r="K9" s="13">
        <f t="shared" si="1"/>
        <v>7.6482113167082822E-3</v>
      </c>
      <c r="L9" s="3"/>
      <c r="N9" s="8" t="s">
        <v>44</v>
      </c>
      <c r="O9" s="12">
        <f t="shared" si="2"/>
        <v>59000</v>
      </c>
      <c r="P9" s="13">
        <f t="shared" si="3"/>
        <v>7.650690727699987E-3</v>
      </c>
    </row>
    <row r="10" spans="2:16" x14ac:dyDescent="0.25">
      <c r="B10" s="8" t="s">
        <v>64</v>
      </c>
      <c r="C10" s="9"/>
      <c r="D10" s="10"/>
      <c r="E10" s="11"/>
      <c r="F10" s="12"/>
      <c r="G10" s="8"/>
      <c r="I10" s="8" t="s">
        <v>43</v>
      </c>
      <c r="J10" s="12">
        <f t="shared" si="0"/>
        <v>205000</v>
      </c>
      <c r="K10" s="13">
        <f t="shared" si="1"/>
        <v>2.6574293558054202E-2</v>
      </c>
      <c r="L10" s="3"/>
      <c r="N10" s="8" t="s">
        <v>49</v>
      </c>
      <c r="O10" s="12">
        <f t="shared" si="2"/>
        <v>411000</v>
      </c>
      <c r="P10" s="13">
        <f t="shared" si="3"/>
        <v>5.3295489645503298E-2</v>
      </c>
    </row>
    <row r="11" spans="2:16" x14ac:dyDescent="0.25">
      <c r="B11" s="8" t="s">
        <v>294</v>
      </c>
      <c r="C11" s="9" t="s">
        <v>291</v>
      </c>
      <c r="D11" s="10" t="s">
        <v>28</v>
      </c>
      <c r="E11" s="11" t="s">
        <v>25</v>
      </c>
      <c r="F11" s="14" t="s">
        <v>29</v>
      </c>
      <c r="G11" s="14">
        <v>12000</v>
      </c>
      <c r="I11" s="8" t="s">
        <v>48</v>
      </c>
      <c r="J11" s="12">
        <f t="shared" si="0"/>
        <v>1042500</v>
      </c>
      <c r="K11" s="13">
        <f t="shared" si="1"/>
        <v>0.13514000504522686</v>
      </c>
      <c r="L11" s="3"/>
      <c r="N11" s="8" t="s">
        <v>51</v>
      </c>
      <c r="O11" s="12">
        <f t="shared" si="2"/>
        <v>178000</v>
      </c>
      <c r="P11" s="13">
        <f t="shared" si="3"/>
        <v>2.3081744907298266E-2</v>
      </c>
    </row>
    <row r="12" spans="2:16" x14ac:dyDescent="0.25">
      <c r="B12" s="8" t="s">
        <v>294</v>
      </c>
      <c r="C12" s="9" t="s">
        <v>291</v>
      </c>
      <c r="D12" s="10" t="s">
        <v>47</v>
      </c>
      <c r="E12" s="11" t="s">
        <v>30</v>
      </c>
      <c r="F12" s="15" t="s">
        <v>42</v>
      </c>
      <c r="G12" s="15">
        <v>3600</v>
      </c>
      <c r="I12" s="8" t="s">
        <v>50</v>
      </c>
      <c r="J12" s="12">
        <f t="shared" si="0"/>
        <v>18500</v>
      </c>
      <c r="K12" s="13">
        <f t="shared" si="1"/>
        <v>2.3981679552390377E-3</v>
      </c>
      <c r="L12" s="3"/>
      <c r="N12" s="8" t="s">
        <v>7</v>
      </c>
      <c r="O12" s="12">
        <f t="shared" ref="O12:P12" si="4">SUM(O4:O11)</f>
        <v>7711722</v>
      </c>
      <c r="P12" s="13">
        <f t="shared" si="4"/>
        <v>1</v>
      </c>
    </row>
    <row r="13" spans="2:16" x14ac:dyDescent="0.25">
      <c r="B13" s="8" t="s">
        <v>52</v>
      </c>
      <c r="C13" s="9"/>
      <c r="D13" s="10"/>
      <c r="E13" s="11"/>
      <c r="F13" s="12"/>
      <c r="G13" s="8"/>
      <c r="I13" s="8" t="s">
        <v>295</v>
      </c>
      <c r="J13" s="12">
        <f t="shared" si="0"/>
        <v>1400</v>
      </c>
      <c r="K13" s="13">
        <f t="shared" si="1"/>
        <v>1.8148298039646771E-4</v>
      </c>
      <c r="L13" s="3"/>
    </row>
    <row r="14" spans="2:16" x14ac:dyDescent="0.25">
      <c r="B14" s="8" t="s">
        <v>55</v>
      </c>
      <c r="C14" s="9"/>
      <c r="D14" s="10"/>
      <c r="E14" s="11"/>
      <c r="F14" s="12"/>
      <c r="G14" s="8"/>
      <c r="I14" s="8" t="s">
        <v>54</v>
      </c>
      <c r="J14" s="12">
        <f t="shared" si="0"/>
        <v>178000</v>
      </c>
      <c r="K14" s="13">
        <f t="shared" si="1"/>
        <v>2.3074264650408037E-2</v>
      </c>
      <c r="L14" s="3"/>
      <c r="N14" s="105" t="s">
        <v>61</v>
      </c>
      <c r="O14" s="106"/>
      <c r="P14" s="107"/>
    </row>
    <row r="15" spans="2:16" x14ac:dyDescent="0.25">
      <c r="B15" s="8" t="s">
        <v>57</v>
      </c>
      <c r="C15" s="9" t="s">
        <v>58</v>
      </c>
      <c r="D15" s="10" t="s">
        <v>59</v>
      </c>
      <c r="E15" s="11" t="s">
        <v>25</v>
      </c>
      <c r="F15" s="12">
        <v>2500</v>
      </c>
      <c r="G15" s="8"/>
      <c r="I15" s="8" t="s">
        <v>56</v>
      </c>
      <c r="J15" s="12">
        <f t="shared" si="0"/>
        <v>0</v>
      </c>
      <c r="K15" s="13">
        <f t="shared" si="1"/>
        <v>0</v>
      </c>
      <c r="L15" s="3"/>
      <c r="N15" s="6" t="s">
        <v>15</v>
      </c>
      <c r="O15" s="7" t="s">
        <v>21</v>
      </c>
      <c r="P15" s="7" t="s">
        <v>22</v>
      </c>
    </row>
    <row r="16" spans="2:16" x14ac:dyDescent="0.25">
      <c r="B16" s="8" t="s">
        <v>62</v>
      </c>
      <c r="C16" s="9"/>
      <c r="D16" s="10"/>
      <c r="E16" s="11"/>
      <c r="F16" s="12"/>
      <c r="G16" s="8"/>
      <c r="I16" s="8" t="s">
        <v>60</v>
      </c>
      <c r="J16" s="12">
        <f t="shared" si="0"/>
        <v>0</v>
      </c>
      <c r="K16" s="13">
        <f t="shared" si="1"/>
        <v>0</v>
      </c>
      <c r="L16" s="3"/>
      <c r="N16" s="10" t="s">
        <v>24</v>
      </c>
      <c r="O16" s="12">
        <f t="shared" ref="O16:O28" si="5">SUMIF(D$4:D$152,N16,F$4:F$152)</f>
        <v>4302000</v>
      </c>
      <c r="P16" s="13">
        <f t="shared" ref="P16:P28" si="6">O16/O$29</f>
        <v>0.73097477576303771</v>
      </c>
    </row>
    <row r="17" spans="2:16" x14ac:dyDescent="0.25">
      <c r="B17" s="8" t="s">
        <v>66</v>
      </c>
      <c r="C17" s="9"/>
      <c r="D17" s="10"/>
      <c r="E17" s="11"/>
      <c r="F17" s="12"/>
      <c r="G17" s="8"/>
      <c r="I17" s="8" t="s">
        <v>63</v>
      </c>
      <c r="J17" s="12">
        <f t="shared" si="0"/>
        <v>411000</v>
      </c>
      <c r="K17" s="13">
        <f t="shared" si="1"/>
        <v>5.3278217816391596E-2</v>
      </c>
      <c r="L17" s="3"/>
      <c r="N17" s="10" t="s">
        <v>28</v>
      </c>
      <c r="O17" s="12">
        <f t="shared" si="5"/>
        <v>0</v>
      </c>
      <c r="P17" s="13">
        <f t="shared" si="6"/>
        <v>0</v>
      </c>
    </row>
    <row r="18" spans="2:16" x14ac:dyDescent="0.25">
      <c r="B18" s="8" t="s">
        <v>68</v>
      </c>
      <c r="C18" s="9"/>
      <c r="D18" s="10"/>
      <c r="E18" s="11"/>
      <c r="F18" s="12"/>
      <c r="G18" s="8"/>
      <c r="I18" s="8" t="s">
        <v>65</v>
      </c>
      <c r="J18" s="12">
        <f t="shared" si="0"/>
        <v>0</v>
      </c>
      <c r="K18" s="13">
        <f t="shared" si="1"/>
        <v>0</v>
      </c>
      <c r="L18" s="3"/>
      <c r="N18" s="10" t="s">
        <v>32</v>
      </c>
      <c r="O18" s="12">
        <f t="shared" si="5"/>
        <v>0</v>
      </c>
      <c r="P18" s="13">
        <f t="shared" si="6"/>
        <v>0</v>
      </c>
    </row>
    <row r="19" spans="2:16" x14ac:dyDescent="0.25">
      <c r="B19" s="8" t="s">
        <v>69</v>
      </c>
      <c r="C19" s="9" t="s">
        <v>70</v>
      </c>
      <c r="D19" s="10" t="s">
        <v>43</v>
      </c>
      <c r="E19" s="11" t="s">
        <v>33</v>
      </c>
      <c r="F19" s="12">
        <v>60000</v>
      </c>
      <c r="G19" s="8"/>
      <c r="I19" s="8" t="s">
        <v>59</v>
      </c>
      <c r="J19" s="12">
        <f t="shared" si="0"/>
        <v>2500</v>
      </c>
      <c r="K19" s="13">
        <f t="shared" si="1"/>
        <v>3.2407675070797806E-4</v>
      </c>
      <c r="L19" s="3"/>
      <c r="N19" s="10" t="s">
        <v>293</v>
      </c>
      <c r="O19" s="12">
        <f t="shared" si="5"/>
        <v>0</v>
      </c>
      <c r="P19" s="13">
        <f t="shared" si="6"/>
        <v>0</v>
      </c>
    </row>
    <row r="20" spans="2:16" x14ac:dyDescent="0.25">
      <c r="B20" s="8" t="s">
        <v>69</v>
      </c>
      <c r="C20" s="9" t="s">
        <v>72</v>
      </c>
      <c r="D20" s="10" t="s">
        <v>47</v>
      </c>
      <c r="E20" s="11" t="s">
        <v>30</v>
      </c>
      <c r="F20" s="12">
        <v>39000</v>
      </c>
      <c r="G20" s="8"/>
      <c r="I20" s="8" t="s">
        <v>296</v>
      </c>
      <c r="J20" s="12">
        <f t="shared" si="0"/>
        <v>15192</v>
      </c>
      <c r="K20" s="13">
        <f t="shared" si="1"/>
        <v>1.969349598702241E-3</v>
      </c>
      <c r="L20" s="3"/>
      <c r="N20" s="10" t="s">
        <v>35</v>
      </c>
      <c r="O20" s="12">
        <f t="shared" si="5"/>
        <v>246700</v>
      </c>
      <c r="P20" s="13">
        <f t="shared" si="6"/>
        <v>4.1918056062468949E-2</v>
      </c>
    </row>
    <row r="21" spans="2:16" ht="15.75" customHeight="1" x14ac:dyDescent="0.25">
      <c r="B21" s="8" t="s">
        <v>69</v>
      </c>
      <c r="C21" s="9" t="s">
        <v>297</v>
      </c>
      <c r="D21" s="10" t="s">
        <v>74</v>
      </c>
      <c r="E21" s="11" t="s">
        <v>36</v>
      </c>
      <c r="F21" s="12">
        <v>10730</v>
      </c>
      <c r="G21" s="8"/>
      <c r="I21" s="8" t="s">
        <v>67</v>
      </c>
      <c r="J21" s="12">
        <f t="shared" si="0"/>
        <v>819900</v>
      </c>
      <c r="K21" s="13">
        <f t="shared" si="1"/>
        <v>0.10628421116218849</v>
      </c>
      <c r="L21" s="3"/>
      <c r="N21" s="10" t="s">
        <v>48</v>
      </c>
      <c r="O21" s="12">
        <f t="shared" si="5"/>
        <v>1042500</v>
      </c>
      <c r="P21" s="13">
        <f t="shared" si="6"/>
        <v>0.1771364955213777</v>
      </c>
    </row>
    <row r="22" spans="2:16" ht="15.75" customHeight="1" x14ac:dyDescent="0.25">
      <c r="B22" s="8" t="s">
        <v>75</v>
      </c>
      <c r="C22" s="9"/>
      <c r="D22" s="10"/>
      <c r="E22" s="11"/>
      <c r="F22" s="12"/>
      <c r="G22" s="8"/>
      <c r="I22" s="8" t="s">
        <v>47</v>
      </c>
      <c r="J22" s="12">
        <f t="shared" si="0"/>
        <v>74800</v>
      </c>
      <c r="K22" s="13">
        <f t="shared" si="1"/>
        <v>9.6963763811827031E-3</v>
      </c>
      <c r="L22" s="3"/>
      <c r="N22" s="10" t="s">
        <v>295</v>
      </c>
      <c r="O22" s="12">
        <f t="shared" si="5"/>
        <v>1400</v>
      </c>
      <c r="P22" s="13">
        <f t="shared" si="6"/>
        <v>2.3788114506467989E-4</v>
      </c>
    </row>
    <row r="23" spans="2:16" ht="15.75" customHeight="1" x14ac:dyDescent="0.25">
      <c r="B23" s="8" t="s">
        <v>76</v>
      </c>
      <c r="C23" s="9"/>
      <c r="D23" s="10"/>
      <c r="E23" s="11"/>
      <c r="F23" s="12"/>
      <c r="G23" s="8"/>
      <c r="I23" s="8" t="s">
        <v>71</v>
      </c>
      <c r="J23" s="12">
        <f t="shared" si="0"/>
        <v>34500</v>
      </c>
      <c r="K23" s="13">
        <f t="shared" si="1"/>
        <v>4.4722591597700975E-3</v>
      </c>
      <c r="L23" s="3"/>
      <c r="N23" s="10" t="s">
        <v>56</v>
      </c>
      <c r="O23" s="12">
        <f t="shared" si="5"/>
        <v>0</v>
      </c>
      <c r="P23" s="13">
        <f t="shared" si="6"/>
        <v>0</v>
      </c>
    </row>
    <row r="24" spans="2:16" ht="15.75" customHeight="1" x14ac:dyDescent="0.25">
      <c r="B24" s="8" t="s">
        <v>78</v>
      </c>
      <c r="C24" s="9"/>
      <c r="D24" s="10"/>
      <c r="E24" s="11"/>
      <c r="F24" s="12"/>
      <c r="G24" s="8"/>
      <c r="I24" s="8" t="s">
        <v>36</v>
      </c>
      <c r="J24" s="12">
        <f t="shared" si="0"/>
        <v>15000</v>
      </c>
      <c r="K24" s="13">
        <f t="shared" si="1"/>
        <v>1.9444605042478684E-3</v>
      </c>
      <c r="L24" s="3"/>
      <c r="N24" s="10" t="s">
        <v>60</v>
      </c>
      <c r="O24" s="12">
        <f t="shared" si="5"/>
        <v>0</v>
      </c>
      <c r="P24" s="13">
        <f t="shared" si="6"/>
        <v>0</v>
      </c>
    </row>
    <row r="25" spans="2:16" ht="15.75" customHeight="1" x14ac:dyDescent="0.25">
      <c r="B25" s="8" t="s">
        <v>79</v>
      </c>
      <c r="C25" s="9"/>
      <c r="D25" s="10"/>
      <c r="E25" s="11"/>
      <c r="F25" s="12"/>
      <c r="G25" s="8"/>
      <c r="I25" s="8" t="s">
        <v>59</v>
      </c>
      <c r="J25" s="12">
        <f t="shared" si="0"/>
        <v>2500</v>
      </c>
      <c r="K25" s="13">
        <f t="shared" si="1"/>
        <v>3.2407675070797806E-4</v>
      </c>
      <c r="L25" s="3"/>
      <c r="N25" s="10" t="s">
        <v>65</v>
      </c>
      <c r="O25" s="12">
        <f t="shared" si="5"/>
        <v>0</v>
      </c>
      <c r="P25" s="13">
        <f t="shared" si="6"/>
        <v>0</v>
      </c>
    </row>
    <row r="26" spans="2:16" ht="15.75" customHeight="1" x14ac:dyDescent="0.25">
      <c r="B26" s="8" t="s">
        <v>82</v>
      </c>
      <c r="C26" s="9"/>
      <c r="D26" s="10"/>
      <c r="E26" s="11"/>
      <c r="F26" s="12"/>
      <c r="G26" s="8"/>
      <c r="I26" s="8" t="s">
        <v>74</v>
      </c>
      <c r="J26" s="12">
        <f t="shared" si="0"/>
        <v>10730</v>
      </c>
      <c r="K26" s="13">
        <f t="shared" si="1"/>
        <v>1.3909374140386418E-3</v>
      </c>
      <c r="N26" s="10" t="s">
        <v>59</v>
      </c>
      <c r="O26" s="12">
        <f t="shared" si="5"/>
        <v>2500</v>
      </c>
      <c r="P26" s="13">
        <f t="shared" si="6"/>
        <v>4.2478775904407123E-4</v>
      </c>
    </row>
    <row r="27" spans="2:16" ht="15.75" customHeight="1" x14ac:dyDescent="0.25">
      <c r="B27" s="8" t="s">
        <v>298</v>
      </c>
      <c r="C27" s="9" t="s">
        <v>299</v>
      </c>
      <c r="D27" s="10" t="s">
        <v>48</v>
      </c>
      <c r="E27" s="11" t="s">
        <v>25</v>
      </c>
      <c r="F27" s="12">
        <v>35000</v>
      </c>
      <c r="G27" s="8"/>
      <c r="I27" s="8" t="s">
        <v>77</v>
      </c>
      <c r="J27" s="12">
        <f t="shared" si="0"/>
        <v>275000</v>
      </c>
      <c r="K27" s="13">
        <f t="shared" si="1"/>
        <v>3.5648442577877588E-2</v>
      </c>
      <c r="N27" s="10" t="s">
        <v>296</v>
      </c>
      <c r="O27" s="12">
        <f t="shared" si="5"/>
        <v>15192</v>
      </c>
      <c r="P27" s="13">
        <f t="shared" si="6"/>
        <v>2.581350254159012E-3</v>
      </c>
    </row>
    <row r="28" spans="2:16" ht="15.75" customHeight="1" x14ac:dyDescent="0.25">
      <c r="B28" s="8" t="s">
        <v>83</v>
      </c>
      <c r="C28" s="9" t="s">
        <v>299</v>
      </c>
      <c r="D28" s="10" t="s">
        <v>48</v>
      </c>
      <c r="E28" s="11" t="s">
        <v>25</v>
      </c>
      <c r="F28" s="12">
        <v>53000</v>
      </c>
      <c r="G28" s="8"/>
      <c r="I28" s="8" t="s">
        <v>7</v>
      </c>
      <c r="J28" s="12">
        <f t="shared" ref="J28:K28" si="7">SUM(J4:J27)</f>
        <v>7714222</v>
      </c>
      <c r="K28" s="13">
        <f t="shared" si="7"/>
        <v>1</v>
      </c>
      <c r="N28" s="10" t="s">
        <v>77</v>
      </c>
      <c r="O28" s="12">
        <f t="shared" si="5"/>
        <v>275000</v>
      </c>
      <c r="P28" s="13">
        <f t="shared" si="6"/>
        <v>4.6726653494847836E-2</v>
      </c>
    </row>
    <row r="29" spans="2:16" ht="15.75" customHeight="1" x14ac:dyDescent="0.25">
      <c r="B29" s="8" t="s">
        <v>85</v>
      </c>
      <c r="C29" s="9" t="s">
        <v>89</v>
      </c>
      <c r="D29" s="10" t="s">
        <v>24</v>
      </c>
      <c r="E29" s="11" t="s">
        <v>25</v>
      </c>
      <c r="F29" s="12">
        <v>790000</v>
      </c>
      <c r="G29" s="8"/>
      <c r="N29" s="20" t="s">
        <v>7</v>
      </c>
      <c r="O29" s="21">
        <f t="shared" ref="O29:P29" si="8">SUM(O16:O28)</f>
        <v>5885292</v>
      </c>
      <c r="P29" s="22">
        <f t="shared" si="8"/>
        <v>1</v>
      </c>
    </row>
    <row r="30" spans="2:16" ht="15.75" customHeight="1" x14ac:dyDescent="0.25">
      <c r="B30" s="8" t="s">
        <v>85</v>
      </c>
      <c r="C30" s="9" t="s">
        <v>86</v>
      </c>
      <c r="D30" s="10" t="s">
        <v>35</v>
      </c>
      <c r="E30" s="11" t="s">
        <v>25</v>
      </c>
      <c r="F30" s="12">
        <v>29700</v>
      </c>
      <c r="G30" s="8"/>
    </row>
    <row r="31" spans="2:16" ht="15.75" customHeight="1" x14ac:dyDescent="0.25">
      <c r="B31" s="8" t="s">
        <v>85</v>
      </c>
      <c r="C31" s="9" t="s">
        <v>70</v>
      </c>
      <c r="D31" s="10" t="s">
        <v>43</v>
      </c>
      <c r="E31" s="11" t="s">
        <v>33</v>
      </c>
      <c r="F31" s="12">
        <v>60000</v>
      </c>
      <c r="G31" s="8"/>
    </row>
    <row r="32" spans="2:16" ht="15.75" customHeight="1" x14ac:dyDescent="0.25">
      <c r="B32" s="8" t="s">
        <v>93</v>
      </c>
      <c r="C32" s="9" t="s">
        <v>291</v>
      </c>
      <c r="D32" s="10" t="s">
        <v>28</v>
      </c>
      <c r="E32" s="11" t="s">
        <v>25</v>
      </c>
      <c r="F32" s="14" t="s">
        <v>29</v>
      </c>
      <c r="G32" s="14">
        <v>2500</v>
      </c>
      <c r="I32" s="105" t="s">
        <v>84</v>
      </c>
      <c r="J32" s="106"/>
      <c r="K32" s="107"/>
    </row>
    <row r="33" spans="2:11" ht="15.75" customHeight="1" x14ac:dyDescent="0.25">
      <c r="B33" s="8" t="s">
        <v>300</v>
      </c>
      <c r="C33" s="9" t="s">
        <v>98</v>
      </c>
      <c r="D33" s="10" t="s">
        <v>71</v>
      </c>
      <c r="E33" s="11" t="s">
        <v>39</v>
      </c>
      <c r="F33" s="12">
        <v>17500</v>
      </c>
      <c r="G33" s="8"/>
      <c r="I33" s="16" t="s">
        <v>1</v>
      </c>
      <c r="J33" s="16" t="s">
        <v>3</v>
      </c>
      <c r="K33" s="16" t="s">
        <v>5</v>
      </c>
    </row>
    <row r="34" spans="2:11" ht="15.75" customHeight="1" x14ac:dyDescent="0.25">
      <c r="B34" s="8" t="s">
        <v>301</v>
      </c>
      <c r="C34" s="9" t="s">
        <v>299</v>
      </c>
      <c r="D34" s="10" t="s">
        <v>48</v>
      </c>
      <c r="E34" s="11" t="s">
        <v>25</v>
      </c>
      <c r="F34" s="12">
        <v>17500</v>
      </c>
      <c r="G34" s="8"/>
      <c r="I34" s="17" t="s">
        <v>87</v>
      </c>
      <c r="J34" s="17" t="s">
        <v>88</v>
      </c>
      <c r="K34" s="17" t="s">
        <v>23</v>
      </c>
    </row>
    <row r="35" spans="2:11" ht="15.75" customHeight="1" x14ac:dyDescent="0.25">
      <c r="B35" s="8" t="s">
        <v>105</v>
      </c>
      <c r="C35" s="9" t="s">
        <v>299</v>
      </c>
      <c r="D35" s="10" t="s">
        <v>48</v>
      </c>
      <c r="E35" s="11" t="s">
        <v>25</v>
      </c>
      <c r="F35" s="12"/>
      <c r="G35" s="8"/>
      <c r="I35" s="17" t="s">
        <v>90</v>
      </c>
      <c r="J35" s="17" t="s">
        <v>91</v>
      </c>
      <c r="K35" s="17" t="s">
        <v>92</v>
      </c>
    </row>
    <row r="36" spans="2:11" ht="15.75" customHeight="1" x14ac:dyDescent="0.25">
      <c r="B36" s="8" t="s">
        <v>105</v>
      </c>
      <c r="C36" s="9" t="s">
        <v>302</v>
      </c>
      <c r="D36" s="10" t="s">
        <v>67</v>
      </c>
      <c r="E36" s="11" t="s">
        <v>39</v>
      </c>
      <c r="F36" s="12"/>
      <c r="G36" s="8"/>
      <c r="I36" s="17" t="s">
        <v>94</v>
      </c>
      <c r="J36" s="17" t="s">
        <v>95</v>
      </c>
      <c r="K36" s="17" t="s">
        <v>96</v>
      </c>
    </row>
    <row r="37" spans="2:11" ht="15.75" customHeight="1" x14ac:dyDescent="0.25">
      <c r="B37" s="8" t="s">
        <v>113</v>
      </c>
      <c r="C37" s="9"/>
      <c r="D37" s="10"/>
      <c r="E37" s="11"/>
      <c r="F37" s="12"/>
      <c r="G37" s="8"/>
      <c r="I37" s="17" t="s">
        <v>99</v>
      </c>
      <c r="J37" s="17" t="s">
        <v>45</v>
      </c>
      <c r="K37" s="17" t="s">
        <v>100</v>
      </c>
    </row>
    <row r="38" spans="2:11" ht="15.75" customHeight="1" x14ac:dyDescent="0.25">
      <c r="B38" s="8" t="s">
        <v>117</v>
      </c>
      <c r="C38" s="9"/>
      <c r="D38" s="10"/>
      <c r="E38" s="11"/>
      <c r="F38" s="12"/>
      <c r="G38" s="8"/>
      <c r="I38" s="17" t="s">
        <v>102</v>
      </c>
      <c r="J38" s="17" t="s">
        <v>103</v>
      </c>
      <c r="K38" s="17" t="s">
        <v>104</v>
      </c>
    </row>
    <row r="39" spans="2:11" ht="15.75" customHeight="1" x14ac:dyDescent="0.25">
      <c r="B39" s="8" t="s">
        <v>129</v>
      </c>
      <c r="C39" s="9" t="s">
        <v>41</v>
      </c>
      <c r="D39" s="10" t="s">
        <v>35</v>
      </c>
      <c r="E39" s="11" t="s">
        <v>25</v>
      </c>
      <c r="F39" s="15" t="s">
        <v>42</v>
      </c>
      <c r="G39" s="15">
        <v>13000</v>
      </c>
      <c r="I39" s="17" t="s">
        <v>107</v>
      </c>
      <c r="J39" s="17" t="s">
        <v>108</v>
      </c>
      <c r="K39" s="17" t="s">
        <v>109</v>
      </c>
    </row>
    <row r="40" spans="2:11" ht="15.75" customHeight="1" x14ac:dyDescent="0.25">
      <c r="B40" s="8" t="s">
        <v>133</v>
      </c>
      <c r="C40" s="9" t="s">
        <v>299</v>
      </c>
      <c r="D40" s="10" t="s">
        <v>48</v>
      </c>
      <c r="E40" s="11" t="s">
        <v>25</v>
      </c>
      <c r="F40" s="12">
        <v>25000</v>
      </c>
      <c r="G40" s="8"/>
      <c r="I40" s="17" t="s">
        <v>110</v>
      </c>
      <c r="J40" s="17" t="s">
        <v>111</v>
      </c>
      <c r="K40" s="17" t="s">
        <v>112</v>
      </c>
    </row>
    <row r="41" spans="2:11" ht="15.75" customHeight="1" x14ac:dyDescent="0.25">
      <c r="B41" s="8" t="s">
        <v>135</v>
      </c>
      <c r="C41" s="9"/>
      <c r="D41" s="10"/>
      <c r="E41" s="11"/>
      <c r="F41" s="12"/>
      <c r="G41" s="8"/>
      <c r="I41" s="17" t="s">
        <v>114</v>
      </c>
      <c r="J41" s="17" t="s">
        <v>115</v>
      </c>
      <c r="K41" s="17" t="s">
        <v>116</v>
      </c>
    </row>
    <row r="42" spans="2:11" ht="15.75" customHeight="1" x14ac:dyDescent="0.25">
      <c r="B42" s="8" t="s">
        <v>138</v>
      </c>
      <c r="C42" s="9"/>
      <c r="D42" s="10"/>
      <c r="E42" s="11"/>
      <c r="F42" s="12"/>
      <c r="G42" s="8"/>
      <c r="I42" s="17" t="s">
        <v>118</v>
      </c>
      <c r="J42" s="17" t="s">
        <v>119</v>
      </c>
      <c r="K42" s="17" t="s">
        <v>120</v>
      </c>
    </row>
    <row r="43" spans="2:11" ht="15.75" customHeight="1" x14ac:dyDescent="0.25">
      <c r="B43" s="8" t="s">
        <v>303</v>
      </c>
      <c r="C43" s="9" t="s">
        <v>302</v>
      </c>
      <c r="D43" s="10" t="s">
        <v>67</v>
      </c>
      <c r="E43" s="11" t="s">
        <v>39</v>
      </c>
      <c r="F43" s="12">
        <v>2000</v>
      </c>
      <c r="G43" s="8"/>
      <c r="I43" s="17" t="s">
        <v>122</v>
      </c>
      <c r="J43" s="17" t="s">
        <v>123</v>
      </c>
      <c r="K43" s="17" t="s">
        <v>124</v>
      </c>
    </row>
    <row r="44" spans="2:11" ht="15.75" customHeight="1" x14ac:dyDescent="0.25">
      <c r="B44" s="8" t="s">
        <v>141</v>
      </c>
      <c r="C44" s="9"/>
      <c r="D44" s="10"/>
      <c r="E44" s="11"/>
      <c r="F44" s="12"/>
      <c r="G44" s="8"/>
      <c r="I44" s="17" t="s">
        <v>126</v>
      </c>
      <c r="J44" s="17" t="s">
        <v>127</v>
      </c>
      <c r="K44" s="17" t="s">
        <v>128</v>
      </c>
    </row>
    <row r="45" spans="2:11" ht="15.75" customHeight="1" x14ac:dyDescent="0.25">
      <c r="B45" s="8" t="s">
        <v>304</v>
      </c>
      <c r="C45" s="9" t="s">
        <v>302</v>
      </c>
      <c r="D45" s="10" t="s">
        <v>67</v>
      </c>
      <c r="E45" s="11" t="s">
        <v>39</v>
      </c>
      <c r="F45" s="12">
        <v>53000</v>
      </c>
      <c r="G45" s="8"/>
      <c r="I45" s="17" t="s">
        <v>130</v>
      </c>
      <c r="J45" s="17" t="s">
        <v>131</v>
      </c>
      <c r="K45" s="17" t="s">
        <v>132</v>
      </c>
    </row>
    <row r="46" spans="2:11" ht="15.75" customHeight="1" x14ac:dyDescent="0.25">
      <c r="B46" s="8" t="s">
        <v>146</v>
      </c>
      <c r="C46" s="9"/>
      <c r="D46" s="10"/>
      <c r="E46" s="11"/>
      <c r="F46" s="12"/>
      <c r="G46" s="8"/>
      <c r="I46" s="17"/>
      <c r="J46" s="17" t="s">
        <v>80</v>
      </c>
      <c r="K46" s="17" t="s">
        <v>134</v>
      </c>
    </row>
    <row r="47" spans="2:11" ht="15.75" customHeight="1" x14ac:dyDescent="0.25">
      <c r="B47" s="8" t="s">
        <v>149</v>
      </c>
      <c r="C47" s="9"/>
      <c r="D47" s="10"/>
      <c r="E47" s="11"/>
      <c r="F47" s="12"/>
      <c r="G47" s="8"/>
      <c r="I47" s="17"/>
      <c r="J47" s="17" t="s">
        <v>136</v>
      </c>
      <c r="K47" s="17" t="s">
        <v>137</v>
      </c>
    </row>
    <row r="48" spans="2:11" ht="15.75" customHeight="1" x14ac:dyDescent="0.25">
      <c r="B48" s="8" t="s">
        <v>152</v>
      </c>
      <c r="C48" s="9"/>
      <c r="D48" s="10"/>
      <c r="E48" s="11"/>
      <c r="F48" s="12"/>
      <c r="G48" s="8"/>
      <c r="I48" s="17"/>
      <c r="J48" s="17" t="s">
        <v>97</v>
      </c>
      <c r="K48" s="17" t="s">
        <v>139</v>
      </c>
    </row>
    <row r="49" spans="2:11" ht="15.75" customHeight="1" x14ac:dyDescent="0.25">
      <c r="B49" s="8" t="s">
        <v>155</v>
      </c>
      <c r="C49" s="9"/>
      <c r="D49" s="10"/>
      <c r="E49" s="11"/>
      <c r="F49" s="12"/>
      <c r="G49" s="8"/>
      <c r="I49" s="17"/>
      <c r="J49" s="17" t="s">
        <v>101</v>
      </c>
      <c r="K49" s="17" t="s">
        <v>140</v>
      </c>
    </row>
    <row r="50" spans="2:11" ht="15.75" customHeight="1" x14ac:dyDescent="0.25">
      <c r="B50" s="8" t="s">
        <v>158</v>
      </c>
      <c r="C50" s="9"/>
      <c r="D50" s="10"/>
      <c r="E50" s="11"/>
      <c r="F50" s="12"/>
      <c r="G50" s="8"/>
      <c r="I50" s="17"/>
      <c r="J50" s="17" t="s">
        <v>142</v>
      </c>
      <c r="K50" s="17" t="s">
        <v>143</v>
      </c>
    </row>
    <row r="51" spans="2:11" ht="15.75" customHeight="1" x14ac:dyDescent="0.25">
      <c r="B51" s="8" t="s">
        <v>161</v>
      </c>
      <c r="C51" s="9" t="s">
        <v>299</v>
      </c>
      <c r="D51" s="10" t="s">
        <v>48</v>
      </c>
      <c r="E51" s="11" t="s">
        <v>25</v>
      </c>
      <c r="F51" s="12">
        <v>95000</v>
      </c>
      <c r="G51" s="8"/>
      <c r="I51" s="17"/>
      <c r="J51" s="17" t="s">
        <v>144</v>
      </c>
      <c r="K51" s="17" t="s">
        <v>145</v>
      </c>
    </row>
    <row r="52" spans="2:11" ht="15.75" customHeight="1" x14ac:dyDescent="0.25">
      <c r="B52" s="8" t="s">
        <v>305</v>
      </c>
      <c r="C52" s="9"/>
      <c r="D52" s="10"/>
      <c r="E52" s="11"/>
      <c r="F52" s="12"/>
      <c r="G52" s="8"/>
      <c r="I52" s="17"/>
      <c r="J52" s="17" t="s">
        <v>147</v>
      </c>
      <c r="K52" s="17" t="s">
        <v>148</v>
      </c>
    </row>
    <row r="53" spans="2:11" ht="15.75" customHeight="1" x14ac:dyDescent="0.25">
      <c r="B53" s="8" t="s">
        <v>166</v>
      </c>
      <c r="C53" s="9"/>
      <c r="D53" s="10"/>
      <c r="E53" s="11"/>
      <c r="F53" s="12"/>
      <c r="G53" s="8"/>
      <c r="I53" s="17"/>
      <c r="J53" s="17" t="s">
        <v>150</v>
      </c>
      <c r="K53" s="17" t="s">
        <v>151</v>
      </c>
    </row>
    <row r="54" spans="2:11" ht="15.75" customHeight="1" x14ac:dyDescent="0.25">
      <c r="B54" s="8" t="s">
        <v>169</v>
      </c>
      <c r="C54" s="9"/>
      <c r="D54" s="10"/>
      <c r="E54" s="11"/>
      <c r="F54" s="12"/>
      <c r="G54" s="8"/>
      <c r="I54" s="17"/>
      <c r="J54" s="17" t="s">
        <v>153</v>
      </c>
      <c r="K54" s="17" t="s">
        <v>154</v>
      </c>
    </row>
    <row r="55" spans="2:11" ht="15.75" customHeight="1" x14ac:dyDescent="0.25">
      <c r="B55" s="8" t="s">
        <v>172</v>
      </c>
      <c r="C55" s="9"/>
      <c r="D55" s="10"/>
      <c r="E55" s="11"/>
      <c r="F55" s="12"/>
      <c r="G55" s="8"/>
      <c r="I55" s="17"/>
      <c r="J55" s="17" t="s">
        <v>156</v>
      </c>
      <c r="K55" s="17" t="s">
        <v>157</v>
      </c>
    </row>
    <row r="56" spans="2:11" ht="15.75" customHeight="1" x14ac:dyDescent="0.25">
      <c r="B56" s="8" t="s">
        <v>175</v>
      </c>
      <c r="C56" s="9" t="s">
        <v>306</v>
      </c>
      <c r="D56" s="10" t="s">
        <v>24</v>
      </c>
      <c r="E56" s="11" t="s">
        <v>25</v>
      </c>
      <c r="F56" s="12">
        <v>231000</v>
      </c>
      <c r="G56" s="8"/>
      <c r="I56" s="17"/>
      <c r="J56" s="17" t="s">
        <v>159</v>
      </c>
      <c r="K56" s="17" t="s">
        <v>160</v>
      </c>
    </row>
    <row r="57" spans="2:11" ht="15.75" customHeight="1" x14ac:dyDescent="0.25">
      <c r="B57" s="8" t="s">
        <v>179</v>
      </c>
      <c r="C57" s="9" t="s">
        <v>182</v>
      </c>
      <c r="D57" s="10" t="s">
        <v>38</v>
      </c>
      <c r="E57" s="11" t="s">
        <v>44</v>
      </c>
      <c r="F57" s="12">
        <v>24000</v>
      </c>
      <c r="G57" s="8"/>
      <c r="I57" s="17"/>
      <c r="J57" s="17" t="s">
        <v>162</v>
      </c>
      <c r="K57" s="17" t="s">
        <v>163</v>
      </c>
    </row>
    <row r="58" spans="2:11" ht="15.75" customHeight="1" x14ac:dyDescent="0.25">
      <c r="B58" s="8" t="s">
        <v>179</v>
      </c>
      <c r="C58" s="9" t="s">
        <v>291</v>
      </c>
      <c r="D58" s="10" t="s">
        <v>56</v>
      </c>
      <c r="E58" s="11" t="s">
        <v>25</v>
      </c>
      <c r="F58" s="14" t="s">
        <v>29</v>
      </c>
      <c r="G58" s="14">
        <v>6600</v>
      </c>
      <c r="I58" s="17"/>
      <c r="J58" s="17" t="s">
        <v>164</v>
      </c>
      <c r="K58" s="17" t="s">
        <v>165</v>
      </c>
    </row>
    <row r="59" spans="2:11" ht="15.75" customHeight="1" x14ac:dyDescent="0.25">
      <c r="B59" s="8" t="s">
        <v>179</v>
      </c>
      <c r="C59" s="9" t="s">
        <v>185</v>
      </c>
      <c r="D59" s="10" t="s">
        <v>67</v>
      </c>
      <c r="E59" s="11" t="s">
        <v>39</v>
      </c>
      <c r="F59" s="12">
        <v>30000</v>
      </c>
      <c r="G59" s="8"/>
      <c r="I59" s="17"/>
      <c r="J59" s="17" t="s">
        <v>167</v>
      </c>
      <c r="K59" s="17" t="s">
        <v>168</v>
      </c>
    </row>
    <row r="60" spans="2:11" ht="15.75" customHeight="1" x14ac:dyDescent="0.25">
      <c r="B60" s="8" t="s">
        <v>190</v>
      </c>
      <c r="C60" s="9"/>
      <c r="D60" s="10"/>
      <c r="E60" s="11"/>
      <c r="F60" s="12"/>
      <c r="G60" s="8"/>
      <c r="I60" s="17"/>
      <c r="J60" s="17" t="s">
        <v>170</v>
      </c>
      <c r="K60" s="17" t="s">
        <v>171</v>
      </c>
    </row>
    <row r="61" spans="2:11" ht="15.75" customHeight="1" x14ac:dyDescent="0.25">
      <c r="B61" s="8" t="s">
        <v>193</v>
      </c>
      <c r="C61" s="9" t="s">
        <v>306</v>
      </c>
      <c r="D61" s="10" t="s">
        <v>24</v>
      </c>
      <c r="E61" s="11" t="s">
        <v>25</v>
      </c>
      <c r="F61" s="12">
        <v>266000</v>
      </c>
      <c r="G61" s="8"/>
      <c r="I61" s="17"/>
      <c r="J61" s="17" t="s">
        <v>173</v>
      </c>
      <c r="K61" s="17" t="s">
        <v>174</v>
      </c>
    </row>
    <row r="62" spans="2:11" ht="15.75" customHeight="1" x14ac:dyDescent="0.25">
      <c r="B62" s="8" t="s">
        <v>196</v>
      </c>
      <c r="C62" s="9"/>
      <c r="D62" s="10"/>
      <c r="E62" s="11"/>
      <c r="F62" s="12"/>
      <c r="G62" s="8"/>
      <c r="I62" s="17"/>
      <c r="J62" s="17" t="s">
        <v>177</v>
      </c>
      <c r="K62" s="17" t="s">
        <v>178</v>
      </c>
    </row>
    <row r="63" spans="2:11" ht="15.75" customHeight="1" x14ac:dyDescent="0.25">
      <c r="B63" s="8" t="s">
        <v>199</v>
      </c>
      <c r="C63" s="9"/>
      <c r="D63" s="10"/>
      <c r="E63" s="11"/>
      <c r="F63" s="12"/>
      <c r="G63" s="8"/>
      <c r="I63" s="17"/>
      <c r="J63" s="17" t="s">
        <v>180</v>
      </c>
      <c r="K63" s="17" t="s">
        <v>181</v>
      </c>
    </row>
    <row r="64" spans="2:11" ht="15.75" customHeight="1" x14ac:dyDescent="0.25">
      <c r="B64" s="8" t="s">
        <v>202</v>
      </c>
      <c r="C64" s="9" t="s">
        <v>307</v>
      </c>
      <c r="D64" s="10" t="s">
        <v>47</v>
      </c>
      <c r="E64" s="11" t="s">
        <v>30</v>
      </c>
      <c r="F64" s="12">
        <v>27500</v>
      </c>
      <c r="G64" s="8"/>
      <c r="I64" s="17"/>
      <c r="J64" s="17" t="s">
        <v>183</v>
      </c>
      <c r="K64" s="17" t="s">
        <v>184</v>
      </c>
    </row>
    <row r="65" spans="2:11" ht="15.75" customHeight="1" x14ac:dyDescent="0.25">
      <c r="B65" s="8" t="s">
        <v>208</v>
      </c>
      <c r="C65" s="9"/>
      <c r="D65" s="10"/>
      <c r="E65" s="11"/>
      <c r="F65" s="12"/>
      <c r="G65" s="8"/>
      <c r="I65" s="17"/>
      <c r="J65" s="17" t="s">
        <v>186</v>
      </c>
      <c r="K65" s="17" t="s">
        <v>187</v>
      </c>
    </row>
    <row r="66" spans="2:11" ht="15.75" customHeight="1" x14ac:dyDescent="0.25">
      <c r="B66" s="8" t="s">
        <v>211</v>
      </c>
      <c r="C66" s="9" t="s">
        <v>302</v>
      </c>
      <c r="D66" s="10" t="s">
        <v>67</v>
      </c>
      <c r="E66" s="11" t="s">
        <v>39</v>
      </c>
      <c r="F66" s="12">
        <v>160000</v>
      </c>
      <c r="G66" s="8"/>
      <c r="I66" s="17"/>
      <c r="J66" s="17" t="s">
        <v>188</v>
      </c>
      <c r="K66" s="17" t="s">
        <v>189</v>
      </c>
    </row>
    <row r="67" spans="2:11" ht="15.75" customHeight="1" x14ac:dyDescent="0.25">
      <c r="B67" s="8" t="s">
        <v>214</v>
      </c>
      <c r="C67" s="9"/>
      <c r="D67" s="10"/>
      <c r="E67" s="11"/>
      <c r="F67" s="12"/>
      <c r="G67" s="8"/>
      <c r="I67" s="17"/>
      <c r="J67" s="17" t="s">
        <v>191</v>
      </c>
      <c r="K67" s="17" t="s">
        <v>192</v>
      </c>
    </row>
    <row r="68" spans="2:11" ht="15.75" customHeight="1" x14ac:dyDescent="0.25">
      <c r="B68" s="8" t="s">
        <v>217</v>
      </c>
      <c r="C68" s="9" t="s">
        <v>308</v>
      </c>
      <c r="D68" s="10" t="s">
        <v>67</v>
      </c>
      <c r="E68" s="11" t="s">
        <v>39</v>
      </c>
      <c r="F68" s="12">
        <v>6900</v>
      </c>
      <c r="G68" s="8"/>
      <c r="I68" s="17"/>
      <c r="J68" s="17" t="s">
        <v>194</v>
      </c>
      <c r="K68" s="17" t="s">
        <v>195</v>
      </c>
    </row>
    <row r="69" spans="2:11" ht="15.75" customHeight="1" x14ac:dyDescent="0.25">
      <c r="B69" s="8" t="s">
        <v>220</v>
      </c>
      <c r="C69" s="9" t="s">
        <v>302</v>
      </c>
      <c r="D69" s="10" t="s">
        <v>67</v>
      </c>
      <c r="E69" s="11" t="s">
        <v>39</v>
      </c>
      <c r="F69" s="12">
        <v>180000</v>
      </c>
      <c r="G69" s="8"/>
      <c r="I69" s="17"/>
      <c r="J69" s="17" t="s">
        <v>197</v>
      </c>
      <c r="K69" s="17" t="s">
        <v>198</v>
      </c>
    </row>
    <row r="70" spans="2:11" ht="15.75" customHeight="1" x14ac:dyDescent="0.25">
      <c r="B70" s="8" t="s">
        <v>222</v>
      </c>
      <c r="C70" s="9"/>
      <c r="D70" s="10"/>
      <c r="E70" s="11"/>
      <c r="F70" s="12"/>
      <c r="G70" s="8"/>
      <c r="I70" s="17"/>
      <c r="J70" s="17" t="s">
        <v>200</v>
      </c>
      <c r="K70" s="17" t="s">
        <v>201</v>
      </c>
    </row>
    <row r="71" spans="2:11" ht="15.75" customHeight="1" x14ac:dyDescent="0.25">
      <c r="B71" s="8" t="s">
        <v>223</v>
      </c>
      <c r="C71" s="9" t="s">
        <v>308</v>
      </c>
      <c r="D71" s="10" t="s">
        <v>24</v>
      </c>
      <c r="E71" s="11" t="s">
        <v>25</v>
      </c>
      <c r="F71" s="12">
        <v>275000</v>
      </c>
      <c r="G71" s="8"/>
      <c r="I71" s="17"/>
      <c r="J71" s="17" t="s">
        <v>203</v>
      </c>
      <c r="K71" s="17" t="s">
        <v>204</v>
      </c>
    </row>
    <row r="72" spans="2:11" ht="15.75" customHeight="1" x14ac:dyDescent="0.25">
      <c r="B72" s="8" t="s">
        <v>223</v>
      </c>
      <c r="C72" s="9" t="s">
        <v>308</v>
      </c>
      <c r="D72" s="10" t="s">
        <v>24</v>
      </c>
      <c r="E72" s="11" t="s">
        <v>25</v>
      </c>
      <c r="F72" s="12">
        <v>425000</v>
      </c>
      <c r="G72" s="8"/>
      <c r="I72" s="17"/>
      <c r="J72" s="17" t="s">
        <v>206</v>
      </c>
      <c r="K72" s="17" t="s">
        <v>207</v>
      </c>
    </row>
    <row r="73" spans="2:11" ht="15.75" customHeight="1" x14ac:dyDescent="0.25">
      <c r="B73" s="8" t="s">
        <v>223</v>
      </c>
      <c r="C73" s="9" t="s">
        <v>302</v>
      </c>
      <c r="D73" s="10" t="s">
        <v>67</v>
      </c>
      <c r="E73" s="11" t="s">
        <v>39</v>
      </c>
      <c r="F73" s="12">
        <v>31000</v>
      </c>
      <c r="G73" s="8"/>
      <c r="I73" s="17"/>
      <c r="J73" s="17" t="s">
        <v>209</v>
      </c>
      <c r="K73" s="17" t="s">
        <v>210</v>
      </c>
    </row>
    <row r="74" spans="2:11" ht="15.75" customHeight="1" x14ac:dyDescent="0.25">
      <c r="B74" s="8" t="s">
        <v>224</v>
      </c>
      <c r="C74" s="9"/>
      <c r="D74" s="10"/>
      <c r="E74" s="11"/>
      <c r="F74" s="12"/>
      <c r="G74" s="8"/>
      <c r="I74" s="17"/>
      <c r="J74" s="17" t="s">
        <v>212</v>
      </c>
      <c r="K74" s="17" t="s">
        <v>213</v>
      </c>
    </row>
    <row r="75" spans="2:11" ht="15.75" customHeight="1" x14ac:dyDescent="0.25">
      <c r="B75" s="8" t="s">
        <v>309</v>
      </c>
      <c r="C75" s="9" t="s">
        <v>182</v>
      </c>
      <c r="D75" s="10" t="s">
        <v>38</v>
      </c>
      <c r="E75" s="11" t="s">
        <v>44</v>
      </c>
      <c r="F75" s="12">
        <v>35000</v>
      </c>
      <c r="G75" s="8"/>
      <c r="I75" s="17"/>
      <c r="J75" s="17" t="s">
        <v>215</v>
      </c>
      <c r="K75" s="17" t="s">
        <v>216</v>
      </c>
    </row>
    <row r="76" spans="2:11" ht="15.75" customHeight="1" x14ac:dyDescent="0.25">
      <c r="B76" s="8" t="s">
        <v>309</v>
      </c>
      <c r="C76" s="9" t="s">
        <v>291</v>
      </c>
      <c r="D76" s="10" t="s">
        <v>56</v>
      </c>
      <c r="E76" s="11" t="s">
        <v>25</v>
      </c>
      <c r="F76" s="14" t="s">
        <v>29</v>
      </c>
      <c r="G76" s="14">
        <v>15000</v>
      </c>
      <c r="I76" s="17"/>
      <c r="J76" s="17"/>
      <c r="K76" s="17" t="s">
        <v>219</v>
      </c>
    </row>
    <row r="77" spans="2:11" ht="15.75" customHeight="1" x14ac:dyDescent="0.25">
      <c r="B77" s="8" t="s">
        <v>309</v>
      </c>
      <c r="C77" s="9" t="s">
        <v>185</v>
      </c>
      <c r="D77" s="10" t="s">
        <v>67</v>
      </c>
      <c r="E77" s="11" t="s">
        <v>39</v>
      </c>
      <c r="F77" s="12">
        <v>48000</v>
      </c>
      <c r="G77" s="8"/>
      <c r="I77" s="17"/>
      <c r="J77" s="17"/>
      <c r="K77" s="17" t="s">
        <v>221</v>
      </c>
    </row>
    <row r="78" spans="2:11" ht="15.75" customHeight="1" x14ac:dyDescent="0.25">
      <c r="B78" s="8" t="s">
        <v>225</v>
      </c>
      <c r="C78" s="9"/>
      <c r="D78" s="10"/>
      <c r="E78" s="11"/>
      <c r="F78" s="12"/>
      <c r="G78" s="8"/>
    </row>
    <row r="79" spans="2:11" ht="15.75" customHeight="1" x14ac:dyDescent="0.25">
      <c r="B79" s="8" t="s">
        <v>226</v>
      </c>
      <c r="C79" s="9"/>
      <c r="D79" s="10"/>
      <c r="E79" s="11"/>
      <c r="F79" s="12"/>
      <c r="G79" s="8"/>
    </row>
    <row r="80" spans="2:11" ht="15.75" customHeight="1" x14ac:dyDescent="0.25">
      <c r="B80" s="8" t="s">
        <v>227</v>
      </c>
      <c r="C80" s="9"/>
      <c r="D80" s="10"/>
      <c r="E80" s="11"/>
      <c r="F80" s="12"/>
      <c r="G80" s="8"/>
    </row>
    <row r="81" spans="2:7" ht="15.75" customHeight="1" x14ac:dyDescent="0.25">
      <c r="B81" s="8" t="s">
        <v>228</v>
      </c>
      <c r="C81" s="9"/>
      <c r="D81" s="10"/>
      <c r="E81" s="11"/>
      <c r="F81" s="12"/>
      <c r="G81" s="8"/>
    </row>
    <row r="82" spans="2:7" ht="15.75" customHeight="1" x14ac:dyDescent="0.25">
      <c r="B82" s="8" t="s">
        <v>229</v>
      </c>
      <c r="C82" s="9"/>
      <c r="D82" s="10"/>
      <c r="E82" s="11"/>
      <c r="F82" s="12"/>
      <c r="G82" s="8"/>
    </row>
    <row r="83" spans="2:7" ht="15.75" customHeight="1" x14ac:dyDescent="0.25">
      <c r="B83" s="8" t="s">
        <v>230</v>
      </c>
      <c r="C83" s="9"/>
      <c r="D83" s="10"/>
      <c r="E83" s="11"/>
      <c r="F83" s="12"/>
      <c r="G83" s="8"/>
    </row>
    <row r="84" spans="2:7" ht="15.75" customHeight="1" x14ac:dyDescent="0.25">
      <c r="B84" s="8" t="s">
        <v>231</v>
      </c>
      <c r="C84" s="9"/>
      <c r="D84" s="10"/>
      <c r="E84" s="11"/>
      <c r="F84" s="12"/>
      <c r="G84" s="8"/>
    </row>
    <row r="85" spans="2:7" ht="15.75" customHeight="1" x14ac:dyDescent="0.25">
      <c r="B85" s="8" t="s">
        <v>121</v>
      </c>
      <c r="C85" s="9"/>
      <c r="D85" s="10"/>
      <c r="E85" s="11"/>
      <c r="F85" s="12"/>
      <c r="G85" s="8"/>
    </row>
    <row r="86" spans="2:7" ht="15.75" customHeight="1" x14ac:dyDescent="0.25">
      <c r="B86" s="8" t="s">
        <v>232</v>
      </c>
      <c r="C86" s="9" t="s">
        <v>41</v>
      </c>
      <c r="D86" s="10" t="s">
        <v>35</v>
      </c>
      <c r="E86" s="11" t="s">
        <v>25</v>
      </c>
      <c r="F86" s="15" t="s">
        <v>42</v>
      </c>
      <c r="G86" s="15">
        <v>45400</v>
      </c>
    </row>
    <row r="87" spans="2:7" ht="15.75" customHeight="1" x14ac:dyDescent="0.25">
      <c r="B87" s="8" t="s">
        <v>233</v>
      </c>
      <c r="C87" s="9"/>
      <c r="D87" s="10"/>
      <c r="E87" s="11"/>
      <c r="F87" s="12"/>
      <c r="G87" s="8"/>
    </row>
    <row r="88" spans="2:7" ht="15.75" customHeight="1" x14ac:dyDescent="0.25">
      <c r="B88" s="8" t="s">
        <v>234</v>
      </c>
      <c r="C88" s="9"/>
      <c r="D88" s="10"/>
      <c r="E88" s="11"/>
      <c r="F88" s="12"/>
      <c r="G88" s="8"/>
    </row>
    <row r="89" spans="2:7" ht="15.75" customHeight="1" x14ac:dyDescent="0.25">
      <c r="B89" s="8" t="s">
        <v>235</v>
      </c>
      <c r="C89" s="9" t="s">
        <v>299</v>
      </c>
      <c r="D89" s="10" t="s">
        <v>63</v>
      </c>
      <c r="E89" s="11" t="s">
        <v>49</v>
      </c>
      <c r="F89" s="12">
        <v>411000</v>
      </c>
      <c r="G89" s="8"/>
    </row>
    <row r="90" spans="2:7" ht="15.75" customHeight="1" x14ac:dyDescent="0.25">
      <c r="B90" s="8" t="s">
        <v>235</v>
      </c>
      <c r="C90" s="9" t="s">
        <v>185</v>
      </c>
      <c r="D90" s="10" t="s">
        <v>67</v>
      </c>
      <c r="E90" s="11" t="s">
        <v>39</v>
      </c>
      <c r="F90" s="12">
        <v>50000</v>
      </c>
      <c r="G90" s="8"/>
    </row>
    <row r="91" spans="2:7" ht="15.75" customHeight="1" x14ac:dyDescent="0.25">
      <c r="B91" s="8" t="s">
        <v>239</v>
      </c>
      <c r="C91" s="9" t="s">
        <v>41</v>
      </c>
      <c r="D91" s="10" t="s">
        <v>35</v>
      </c>
      <c r="E91" s="11" t="s">
        <v>25</v>
      </c>
      <c r="F91" s="15" t="s">
        <v>42</v>
      </c>
      <c r="G91" s="15">
        <v>9000</v>
      </c>
    </row>
    <row r="92" spans="2:7" ht="15.75" customHeight="1" x14ac:dyDescent="0.25">
      <c r="B92" s="8" t="s">
        <v>240</v>
      </c>
      <c r="C92" s="9" t="s">
        <v>41</v>
      </c>
      <c r="D92" s="10" t="s">
        <v>35</v>
      </c>
      <c r="E92" s="11" t="s">
        <v>25</v>
      </c>
      <c r="F92" s="15" t="s">
        <v>42</v>
      </c>
      <c r="G92" s="15">
        <v>2000</v>
      </c>
    </row>
    <row r="93" spans="2:7" ht="15.75" customHeight="1" x14ac:dyDescent="0.25">
      <c r="B93" s="8" t="s">
        <v>241</v>
      </c>
      <c r="C93" s="9" t="s">
        <v>41</v>
      </c>
      <c r="D93" s="10" t="s">
        <v>35</v>
      </c>
      <c r="E93" s="11" t="s">
        <v>25</v>
      </c>
      <c r="F93" s="15" t="s">
        <v>42</v>
      </c>
      <c r="G93" s="15">
        <v>8500</v>
      </c>
    </row>
    <row r="94" spans="2:7" ht="15.75" customHeight="1" x14ac:dyDescent="0.25">
      <c r="B94" s="8" t="s">
        <v>237</v>
      </c>
      <c r="C94" s="9" t="s">
        <v>310</v>
      </c>
      <c r="D94" s="10" t="s">
        <v>67</v>
      </c>
      <c r="E94" s="11" t="s">
        <v>39</v>
      </c>
      <c r="F94" s="12">
        <v>60000</v>
      </c>
      <c r="G94" s="8"/>
    </row>
    <row r="95" spans="2:7" ht="15.75" customHeight="1" x14ac:dyDescent="0.25">
      <c r="B95" s="10" t="s">
        <v>242</v>
      </c>
      <c r="C95" s="9"/>
      <c r="D95" s="10"/>
      <c r="E95" s="11"/>
      <c r="F95" s="12"/>
      <c r="G95" s="8"/>
    </row>
    <row r="96" spans="2:7" ht="15.75" customHeight="1" x14ac:dyDescent="0.25">
      <c r="B96" s="8" t="s">
        <v>243</v>
      </c>
      <c r="C96" s="9"/>
      <c r="D96" s="10"/>
      <c r="E96" s="11"/>
      <c r="F96" s="12"/>
      <c r="G96" s="8"/>
    </row>
    <row r="97" spans="2:7" ht="15.75" customHeight="1" x14ac:dyDescent="0.25">
      <c r="B97" s="8" t="s">
        <v>244</v>
      </c>
      <c r="C97" s="9" t="s">
        <v>41</v>
      </c>
      <c r="D97" s="10" t="s">
        <v>35</v>
      </c>
      <c r="E97" s="11" t="s">
        <v>25</v>
      </c>
      <c r="F97" s="15" t="s">
        <v>42</v>
      </c>
      <c r="G97" s="15">
        <v>33000</v>
      </c>
    </row>
    <row r="98" spans="2:7" ht="15.75" customHeight="1" x14ac:dyDescent="0.25">
      <c r="B98" s="8" t="s">
        <v>244</v>
      </c>
      <c r="C98" s="9" t="s">
        <v>299</v>
      </c>
      <c r="D98" s="10" t="s">
        <v>48</v>
      </c>
      <c r="E98" s="11" t="s">
        <v>25</v>
      </c>
      <c r="F98" s="12">
        <v>60000</v>
      </c>
      <c r="G98" s="8"/>
    </row>
    <row r="99" spans="2:7" ht="15.75" customHeight="1" x14ac:dyDescent="0.25">
      <c r="B99" s="8" t="s">
        <v>244</v>
      </c>
      <c r="C99" s="9" t="s">
        <v>299</v>
      </c>
      <c r="D99" s="10" t="s">
        <v>54</v>
      </c>
      <c r="E99" s="11" t="s">
        <v>51</v>
      </c>
      <c r="F99" s="12">
        <v>48000</v>
      </c>
      <c r="G99" s="8"/>
    </row>
    <row r="100" spans="2:7" ht="15.75" customHeight="1" x14ac:dyDescent="0.25">
      <c r="B100" s="8" t="s">
        <v>311</v>
      </c>
      <c r="C100" s="9"/>
      <c r="D100" s="10"/>
      <c r="E100" s="11"/>
      <c r="F100" s="12"/>
      <c r="G100" s="8"/>
    </row>
    <row r="101" spans="2:7" ht="15.75" customHeight="1" x14ac:dyDescent="0.25">
      <c r="B101" s="8" t="s">
        <v>246</v>
      </c>
      <c r="C101" s="9" t="s">
        <v>312</v>
      </c>
      <c r="D101" s="10" t="s">
        <v>296</v>
      </c>
      <c r="E101" s="11" t="s">
        <v>25</v>
      </c>
      <c r="F101" s="12">
        <v>4680</v>
      </c>
      <c r="G101" s="8"/>
    </row>
    <row r="102" spans="2:7" ht="15.75" customHeight="1" x14ac:dyDescent="0.25">
      <c r="B102" s="8" t="s">
        <v>125</v>
      </c>
      <c r="C102" s="9"/>
      <c r="D102" s="10"/>
      <c r="E102" s="11"/>
      <c r="F102" s="12"/>
      <c r="G102" s="8"/>
    </row>
    <row r="103" spans="2:7" ht="15.75" customHeight="1" x14ac:dyDescent="0.25">
      <c r="B103" s="8" t="s">
        <v>247</v>
      </c>
      <c r="C103" s="9" t="s">
        <v>313</v>
      </c>
      <c r="D103" s="10" t="s">
        <v>35</v>
      </c>
      <c r="E103" s="11" t="s">
        <v>25</v>
      </c>
      <c r="F103" s="12">
        <v>85000</v>
      </c>
      <c r="G103" s="8"/>
    </row>
    <row r="104" spans="2:7" ht="15.75" customHeight="1" x14ac:dyDescent="0.25">
      <c r="B104" s="8" t="s">
        <v>249</v>
      </c>
      <c r="C104" s="9" t="s">
        <v>70</v>
      </c>
      <c r="D104" s="10" t="s">
        <v>43</v>
      </c>
      <c r="E104" s="11" t="s">
        <v>33</v>
      </c>
      <c r="F104" s="12">
        <v>85000</v>
      </c>
      <c r="G104" s="8"/>
    </row>
    <row r="105" spans="2:7" ht="15.75" customHeight="1" x14ac:dyDescent="0.25">
      <c r="B105" s="8" t="s">
        <v>249</v>
      </c>
      <c r="C105" s="9" t="s">
        <v>72</v>
      </c>
      <c r="D105" s="10" t="s">
        <v>47</v>
      </c>
      <c r="E105" s="11" t="s">
        <v>30</v>
      </c>
      <c r="F105" s="12">
        <v>8300</v>
      </c>
      <c r="G105" s="8"/>
    </row>
    <row r="106" spans="2:7" ht="15.75" customHeight="1" x14ac:dyDescent="0.25">
      <c r="B106" s="8" t="s">
        <v>250</v>
      </c>
      <c r="C106" s="9"/>
      <c r="D106" s="10"/>
      <c r="E106" s="11"/>
      <c r="F106" s="12"/>
      <c r="G106" s="8"/>
    </row>
    <row r="107" spans="2:7" ht="15.75" customHeight="1" x14ac:dyDescent="0.25">
      <c r="B107" s="8" t="s">
        <v>251</v>
      </c>
      <c r="C107" s="9"/>
      <c r="D107" s="10"/>
      <c r="E107" s="11"/>
      <c r="F107" s="12"/>
      <c r="G107" s="8"/>
    </row>
    <row r="108" spans="2:7" ht="15.75" customHeight="1" x14ac:dyDescent="0.25">
      <c r="B108" s="8" t="s">
        <v>252</v>
      </c>
      <c r="C108" s="9" t="s">
        <v>314</v>
      </c>
      <c r="D108" s="10" t="s">
        <v>32</v>
      </c>
      <c r="E108" s="11" t="s">
        <v>25</v>
      </c>
      <c r="F108" s="14" t="s">
        <v>29</v>
      </c>
      <c r="G108" s="14">
        <v>46000</v>
      </c>
    </row>
    <row r="109" spans="2:7" ht="15.75" customHeight="1" x14ac:dyDescent="0.25">
      <c r="B109" s="8" t="s">
        <v>254</v>
      </c>
      <c r="C109" s="9"/>
      <c r="D109" s="10"/>
      <c r="E109" s="11"/>
      <c r="F109" s="12"/>
      <c r="G109" s="8"/>
    </row>
    <row r="110" spans="2:7" ht="15.75" customHeight="1" x14ac:dyDescent="0.25">
      <c r="B110" s="8" t="s">
        <v>315</v>
      </c>
      <c r="C110" s="9"/>
      <c r="D110" s="10"/>
      <c r="E110" s="11"/>
      <c r="F110" s="12"/>
      <c r="G110" s="8"/>
    </row>
    <row r="111" spans="2:7" ht="15.75" customHeight="1" x14ac:dyDescent="0.25">
      <c r="B111" s="8" t="s">
        <v>316</v>
      </c>
      <c r="C111" s="9"/>
      <c r="D111" s="10"/>
      <c r="E111" s="11"/>
      <c r="F111" s="12"/>
      <c r="G111" s="8"/>
    </row>
    <row r="112" spans="2:7" ht="15.75" customHeight="1" x14ac:dyDescent="0.25">
      <c r="B112" s="8" t="s">
        <v>288</v>
      </c>
      <c r="C112" s="9" t="s">
        <v>299</v>
      </c>
      <c r="D112" s="10" t="s">
        <v>48</v>
      </c>
      <c r="E112" s="11" t="s">
        <v>25</v>
      </c>
      <c r="F112" s="12">
        <v>25000</v>
      </c>
      <c r="G112" s="8"/>
    </row>
    <row r="113" spans="2:7" ht="15.75" customHeight="1" x14ac:dyDescent="0.25">
      <c r="B113" s="8" t="s">
        <v>257</v>
      </c>
      <c r="C113" s="9"/>
      <c r="D113" s="10"/>
      <c r="E113" s="11"/>
      <c r="F113" s="12"/>
      <c r="G113" s="8"/>
    </row>
    <row r="114" spans="2:7" ht="15.75" customHeight="1" x14ac:dyDescent="0.25">
      <c r="B114" s="8" t="s">
        <v>258</v>
      </c>
      <c r="C114" s="9"/>
      <c r="D114" s="10"/>
      <c r="E114" s="11"/>
      <c r="F114" s="12"/>
      <c r="G114" s="8"/>
    </row>
    <row r="115" spans="2:7" ht="15.75" customHeight="1" x14ac:dyDescent="0.25">
      <c r="B115" s="8" t="s">
        <v>259</v>
      </c>
      <c r="C115" s="9" t="s">
        <v>306</v>
      </c>
      <c r="D115" s="10" t="s">
        <v>24</v>
      </c>
      <c r="E115" s="11" t="s">
        <v>25</v>
      </c>
      <c r="F115" s="12">
        <v>230000</v>
      </c>
      <c r="G115" s="8"/>
    </row>
    <row r="116" spans="2:7" ht="15.75" customHeight="1" x14ac:dyDescent="0.25">
      <c r="B116" s="8" t="s">
        <v>317</v>
      </c>
      <c r="C116" s="9" t="s">
        <v>302</v>
      </c>
      <c r="D116" s="10" t="s">
        <v>77</v>
      </c>
      <c r="E116" s="11" t="s">
        <v>25</v>
      </c>
      <c r="F116" s="12">
        <v>65000</v>
      </c>
      <c r="G116" s="8"/>
    </row>
    <row r="117" spans="2:7" ht="15.75" customHeight="1" x14ac:dyDescent="0.25">
      <c r="B117" s="8" t="s">
        <v>262</v>
      </c>
      <c r="C117" s="9" t="s">
        <v>318</v>
      </c>
      <c r="D117" s="10" t="s">
        <v>50</v>
      </c>
      <c r="E117" s="11" t="s">
        <v>39</v>
      </c>
      <c r="F117" s="12">
        <v>18500</v>
      </c>
      <c r="G117" s="8"/>
    </row>
    <row r="118" spans="2:7" ht="15.75" customHeight="1" x14ac:dyDescent="0.25">
      <c r="B118" s="8" t="s">
        <v>262</v>
      </c>
      <c r="C118" s="9" t="s">
        <v>319</v>
      </c>
      <c r="D118" s="10" t="s">
        <v>295</v>
      </c>
      <c r="E118" s="11" t="s">
        <v>25</v>
      </c>
      <c r="F118" s="12">
        <v>1400</v>
      </c>
      <c r="G118" s="8"/>
    </row>
    <row r="119" spans="2:7" ht="15.75" customHeight="1" x14ac:dyDescent="0.25">
      <c r="B119" s="8" t="s">
        <v>262</v>
      </c>
      <c r="C119" s="9" t="s">
        <v>264</v>
      </c>
      <c r="D119" s="10" t="s">
        <v>36</v>
      </c>
      <c r="E119" s="11" t="s">
        <v>36</v>
      </c>
      <c r="F119" s="12">
        <v>15000</v>
      </c>
      <c r="G119" s="8"/>
    </row>
    <row r="120" spans="2:7" ht="15.75" customHeight="1" x14ac:dyDescent="0.25">
      <c r="B120" s="8" t="s">
        <v>320</v>
      </c>
      <c r="C120" s="9"/>
      <c r="D120" s="10"/>
      <c r="E120" s="11"/>
      <c r="F120" s="12"/>
      <c r="G120" s="8"/>
    </row>
    <row r="121" spans="2:7" ht="15.75" customHeight="1" x14ac:dyDescent="0.25">
      <c r="B121" s="8" t="s">
        <v>265</v>
      </c>
      <c r="C121" s="9" t="s">
        <v>321</v>
      </c>
      <c r="D121" s="10" t="s">
        <v>24</v>
      </c>
      <c r="E121" s="11" t="s">
        <v>25</v>
      </c>
      <c r="F121" s="12"/>
      <c r="G121" s="8"/>
    </row>
    <row r="122" spans="2:7" ht="15.75" customHeight="1" x14ac:dyDescent="0.25">
      <c r="B122" s="8" t="s">
        <v>265</v>
      </c>
      <c r="C122" s="9" t="s">
        <v>321</v>
      </c>
      <c r="D122" s="10" t="s">
        <v>24</v>
      </c>
      <c r="E122" s="11" t="s">
        <v>25</v>
      </c>
      <c r="F122" s="12">
        <v>370000</v>
      </c>
      <c r="G122" s="8"/>
    </row>
    <row r="123" spans="2:7" ht="15.75" customHeight="1" x14ac:dyDescent="0.25">
      <c r="B123" s="8" t="s">
        <v>265</v>
      </c>
      <c r="C123" s="9" t="s">
        <v>321</v>
      </c>
      <c r="D123" s="10" t="s">
        <v>24</v>
      </c>
      <c r="E123" s="11" t="s">
        <v>25</v>
      </c>
      <c r="F123" s="12">
        <v>135000</v>
      </c>
      <c r="G123" s="8"/>
    </row>
    <row r="124" spans="2:7" ht="15.75" customHeight="1" x14ac:dyDescent="0.25">
      <c r="B124" s="8" t="s">
        <v>266</v>
      </c>
      <c r="C124" s="9" t="s">
        <v>321</v>
      </c>
      <c r="D124" s="10" t="s">
        <v>24</v>
      </c>
      <c r="E124" s="11" t="s">
        <v>25</v>
      </c>
      <c r="F124" s="12">
        <v>110000</v>
      </c>
      <c r="G124" s="8"/>
    </row>
    <row r="125" spans="2:7" ht="15.75" customHeight="1" x14ac:dyDescent="0.25">
      <c r="B125" s="8" t="s">
        <v>266</v>
      </c>
      <c r="C125" s="9" t="s">
        <v>321</v>
      </c>
      <c r="D125" s="10" t="s">
        <v>24</v>
      </c>
      <c r="E125" s="11" t="s">
        <v>25</v>
      </c>
      <c r="F125" s="12"/>
      <c r="G125" s="8"/>
    </row>
    <row r="126" spans="2:7" ht="15.75" customHeight="1" x14ac:dyDescent="0.25">
      <c r="B126" s="8" t="s">
        <v>267</v>
      </c>
      <c r="C126" s="9" t="s">
        <v>321</v>
      </c>
      <c r="D126" s="10" t="s">
        <v>24</v>
      </c>
      <c r="E126" s="11" t="s">
        <v>25</v>
      </c>
      <c r="F126" s="12">
        <v>150000</v>
      </c>
      <c r="G126" s="8"/>
    </row>
    <row r="127" spans="2:7" ht="15.75" customHeight="1" x14ac:dyDescent="0.25">
      <c r="B127" s="8" t="s">
        <v>268</v>
      </c>
      <c r="C127" s="9" t="s">
        <v>299</v>
      </c>
      <c r="D127" s="10" t="s">
        <v>48</v>
      </c>
      <c r="E127" s="11" t="s">
        <v>25</v>
      </c>
      <c r="F127" s="12">
        <v>26000</v>
      </c>
      <c r="G127" s="8"/>
    </row>
    <row r="128" spans="2:7" ht="15.75" customHeight="1" x14ac:dyDescent="0.25">
      <c r="B128" s="8" t="s">
        <v>269</v>
      </c>
      <c r="C128" s="9" t="s">
        <v>322</v>
      </c>
      <c r="D128" s="10" t="s">
        <v>293</v>
      </c>
      <c r="E128" s="11" t="s">
        <v>25</v>
      </c>
      <c r="F128" s="14" t="s">
        <v>29</v>
      </c>
      <c r="G128" s="14">
        <v>4100</v>
      </c>
    </row>
    <row r="129" spans="2:7" ht="15.75" customHeight="1" x14ac:dyDescent="0.25">
      <c r="B129" s="8" t="s">
        <v>269</v>
      </c>
      <c r="C129" s="9" t="s">
        <v>321</v>
      </c>
      <c r="D129" s="10" t="s">
        <v>67</v>
      </c>
      <c r="E129" s="11" t="s">
        <v>39</v>
      </c>
      <c r="F129" s="12">
        <v>44000</v>
      </c>
      <c r="G129" s="8"/>
    </row>
    <row r="130" spans="2:7" ht="15.75" customHeight="1" x14ac:dyDescent="0.25">
      <c r="B130" s="8" t="s">
        <v>270</v>
      </c>
      <c r="C130" s="9" t="s">
        <v>323</v>
      </c>
      <c r="D130" s="10" t="s">
        <v>54</v>
      </c>
      <c r="E130" s="11" t="s">
        <v>51</v>
      </c>
      <c r="F130" s="12">
        <v>130000</v>
      </c>
      <c r="G130" s="8"/>
    </row>
    <row r="131" spans="2:7" ht="15.75" customHeight="1" x14ac:dyDescent="0.25">
      <c r="B131" s="8" t="s">
        <v>270</v>
      </c>
      <c r="C131" s="9" t="s">
        <v>323</v>
      </c>
      <c r="D131" s="10" t="s">
        <v>48</v>
      </c>
      <c r="E131" s="11" t="s">
        <v>25</v>
      </c>
      <c r="F131" s="12">
        <v>180000</v>
      </c>
      <c r="G131" s="8"/>
    </row>
    <row r="132" spans="2:7" ht="15.75" customHeight="1" x14ac:dyDescent="0.25">
      <c r="B132" s="8" t="s">
        <v>324</v>
      </c>
      <c r="C132" s="9" t="s">
        <v>325</v>
      </c>
      <c r="D132" s="10" t="s">
        <v>77</v>
      </c>
      <c r="E132" s="11" t="s">
        <v>25</v>
      </c>
      <c r="F132" s="12">
        <v>210000</v>
      </c>
      <c r="G132" s="8"/>
    </row>
    <row r="133" spans="2:7" ht="15.75" customHeight="1" x14ac:dyDescent="0.25">
      <c r="B133" s="8" t="s">
        <v>326</v>
      </c>
      <c r="C133" s="9" t="s">
        <v>327</v>
      </c>
      <c r="D133" s="10" t="s">
        <v>60</v>
      </c>
      <c r="E133" s="11" t="s">
        <v>25</v>
      </c>
      <c r="F133" s="14" t="s">
        <v>29</v>
      </c>
      <c r="G133" s="14">
        <v>67525</v>
      </c>
    </row>
    <row r="134" spans="2:7" ht="15.75" customHeight="1" x14ac:dyDescent="0.25">
      <c r="B134" s="8" t="s">
        <v>274</v>
      </c>
      <c r="C134" s="9"/>
      <c r="D134" s="10"/>
      <c r="E134" s="11"/>
      <c r="F134" s="12"/>
      <c r="G134" s="8"/>
    </row>
    <row r="135" spans="2:7" ht="15.75" customHeight="1" x14ac:dyDescent="0.25">
      <c r="B135" s="8" t="s">
        <v>275</v>
      </c>
      <c r="C135" s="9"/>
      <c r="D135" s="10"/>
      <c r="E135" s="11"/>
      <c r="F135" s="12"/>
      <c r="G135" s="8"/>
    </row>
    <row r="136" spans="2:7" ht="15.75" customHeight="1" x14ac:dyDescent="0.25">
      <c r="B136" s="8" t="s">
        <v>276</v>
      </c>
      <c r="C136" s="9"/>
      <c r="D136" s="10"/>
      <c r="E136" s="11"/>
      <c r="F136" s="12"/>
      <c r="G136" s="8"/>
    </row>
    <row r="137" spans="2:7" ht="15.75" customHeight="1" x14ac:dyDescent="0.25">
      <c r="B137" s="8" t="s">
        <v>277</v>
      </c>
      <c r="C137" s="9"/>
      <c r="D137" s="10"/>
      <c r="E137" s="11"/>
      <c r="F137" s="12"/>
      <c r="G137" s="8"/>
    </row>
    <row r="138" spans="2:7" ht="15.75" customHeight="1" x14ac:dyDescent="0.25">
      <c r="B138" s="8" t="s">
        <v>210</v>
      </c>
      <c r="C138" s="9"/>
      <c r="D138" s="10"/>
      <c r="E138" s="11"/>
      <c r="F138" s="12"/>
      <c r="G138" s="8"/>
    </row>
    <row r="139" spans="2:7" ht="15.75" customHeight="1" x14ac:dyDescent="0.25">
      <c r="B139" s="8" t="s">
        <v>278</v>
      </c>
      <c r="C139" s="9" t="s">
        <v>299</v>
      </c>
      <c r="D139" s="10" t="s">
        <v>48</v>
      </c>
      <c r="E139" s="11" t="s">
        <v>25</v>
      </c>
      <c r="F139" s="12"/>
      <c r="G139" s="8"/>
    </row>
    <row r="140" spans="2:7" ht="15.75" customHeight="1" x14ac:dyDescent="0.25">
      <c r="B140" s="8" t="s">
        <v>278</v>
      </c>
      <c r="C140" s="9" t="s">
        <v>302</v>
      </c>
      <c r="D140" s="10" t="s">
        <v>67</v>
      </c>
      <c r="E140" s="11" t="s">
        <v>39</v>
      </c>
      <c r="F140" s="12"/>
      <c r="G140" s="8"/>
    </row>
    <row r="141" spans="2:7" ht="15.75" customHeight="1" x14ac:dyDescent="0.25">
      <c r="B141" s="8" t="s">
        <v>278</v>
      </c>
      <c r="C141" s="9" t="s">
        <v>299</v>
      </c>
      <c r="D141" s="10" t="s">
        <v>48</v>
      </c>
      <c r="E141" s="11" t="s">
        <v>25</v>
      </c>
      <c r="F141" s="12">
        <v>526000</v>
      </c>
      <c r="G141" s="8"/>
    </row>
    <row r="142" spans="2:7" ht="15.75" customHeight="1" x14ac:dyDescent="0.25">
      <c r="B142" s="8" t="s">
        <v>279</v>
      </c>
      <c r="C142" s="9" t="s">
        <v>328</v>
      </c>
      <c r="D142" s="10" t="s">
        <v>296</v>
      </c>
      <c r="E142" s="11" t="s">
        <v>25</v>
      </c>
      <c r="F142" s="12">
        <v>10512</v>
      </c>
      <c r="G142" s="8"/>
    </row>
    <row r="143" spans="2:7" ht="15.75" customHeight="1" x14ac:dyDescent="0.25">
      <c r="B143" s="8" t="s">
        <v>280</v>
      </c>
      <c r="C143" s="9" t="s">
        <v>281</v>
      </c>
      <c r="D143" s="10" t="s">
        <v>71</v>
      </c>
      <c r="E143" s="11" t="s">
        <v>39</v>
      </c>
      <c r="F143" s="12">
        <v>17000</v>
      </c>
      <c r="G143" s="8"/>
    </row>
    <row r="144" spans="2:7" ht="15.75" customHeight="1" x14ac:dyDescent="0.25">
      <c r="B144" s="8" t="s">
        <v>282</v>
      </c>
      <c r="C144" s="9"/>
      <c r="D144" s="10"/>
      <c r="E144" s="11"/>
      <c r="F144" s="12"/>
      <c r="G144" s="8"/>
    </row>
    <row r="145" spans="2:7" ht="15.75" customHeight="1" x14ac:dyDescent="0.25">
      <c r="B145" s="8" t="s">
        <v>283</v>
      </c>
      <c r="C145" s="9" t="s">
        <v>86</v>
      </c>
      <c r="D145" s="10" t="s">
        <v>35</v>
      </c>
      <c r="E145" s="11" t="s">
        <v>25</v>
      </c>
      <c r="F145" s="12">
        <v>132000</v>
      </c>
      <c r="G145" s="8"/>
    </row>
    <row r="146" spans="2:7" ht="15.75" customHeight="1" x14ac:dyDescent="0.25">
      <c r="B146" s="8" t="s">
        <v>284</v>
      </c>
      <c r="C146" s="9" t="s">
        <v>299</v>
      </c>
      <c r="D146" s="10" t="s">
        <v>48</v>
      </c>
      <c r="E146" s="11" t="s">
        <v>25</v>
      </c>
      <c r="F146" s="12"/>
      <c r="G146" s="8"/>
    </row>
    <row r="147" spans="2:7" ht="15.75" customHeight="1" x14ac:dyDescent="0.25">
      <c r="B147" s="8" t="s">
        <v>284</v>
      </c>
      <c r="C147" s="9" t="s">
        <v>302</v>
      </c>
      <c r="D147" s="10" t="s">
        <v>67</v>
      </c>
      <c r="E147" s="11" t="s">
        <v>39</v>
      </c>
      <c r="F147" s="12"/>
      <c r="G147" s="8"/>
    </row>
    <row r="148" spans="2:7" ht="15.75" customHeight="1" x14ac:dyDescent="0.25">
      <c r="B148" s="8" t="s">
        <v>285</v>
      </c>
      <c r="C148" s="9"/>
      <c r="D148" s="10"/>
      <c r="E148" s="11"/>
      <c r="F148" s="12"/>
      <c r="G148" s="8"/>
    </row>
    <row r="149" spans="2:7" ht="15.75" customHeight="1" x14ac:dyDescent="0.25">
      <c r="B149" s="8" t="s">
        <v>329</v>
      </c>
      <c r="C149" s="9"/>
      <c r="D149" s="10"/>
      <c r="E149" s="11"/>
      <c r="F149" s="12"/>
      <c r="G149" s="8"/>
    </row>
    <row r="150" spans="2:7" ht="15.75" customHeight="1" x14ac:dyDescent="0.25">
      <c r="B150" s="8" t="s">
        <v>286</v>
      </c>
      <c r="C150" s="9"/>
      <c r="D150" s="10"/>
      <c r="E150" s="11"/>
      <c r="F150" s="12"/>
      <c r="G150" s="8"/>
    </row>
    <row r="151" spans="2:7" ht="15.75" customHeight="1" x14ac:dyDescent="0.25">
      <c r="B151" s="8" t="s">
        <v>287</v>
      </c>
      <c r="C151" s="9" t="s">
        <v>89</v>
      </c>
      <c r="D151" s="10" t="s">
        <v>24</v>
      </c>
      <c r="E151" s="11" t="s">
        <v>25</v>
      </c>
      <c r="F151" s="12">
        <v>1320000</v>
      </c>
      <c r="G151" s="8"/>
    </row>
    <row r="152" spans="2:7" ht="15.75" customHeight="1" x14ac:dyDescent="0.25">
      <c r="B152" s="8" t="s">
        <v>289</v>
      </c>
      <c r="C152" s="9" t="s">
        <v>302</v>
      </c>
      <c r="D152" s="10" t="s">
        <v>67</v>
      </c>
      <c r="E152" s="11" t="s">
        <v>39</v>
      </c>
      <c r="F152" s="12">
        <v>155000</v>
      </c>
      <c r="G152" s="8"/>
    </row>
    <row r="153" spans="2:7" ht="15.75" customHeight="1" x14ac:dyDescent="0.25">
      <c r="B153" s="8" t="s">
        <v>7</v>
      </c>
      <c r="C153" s="19">
        <f t="array" aca="1" ref="C153" ca="1">COUNTA(_xludf.UNIQUE(_xlws.FILTER(C4:C152,C4:C152&lt;&gt;"")))</f>
        <v>1</v>
      </c>
      <c r="D153" s="19">
        <f t="array" aca="1" ref="D153" ca="1">COUNTA(_xludf.UNIQUE(_xlws.FILTER(D4:D152,D4:D152&lt;&gt;"")))</f>
        <v>1</v>
      </c>
      <c r="E153" s="19">
        <f t="array" aca="1" ref="E153" ca="1">COUNTA(_xludf.UNIQUE(_xlws.FILTER(E5:E152,E5:E152&lt;&gt;"")))</f>
        <v>1</v>
      </c>
      <c r="F153" s="19">
        <f t="array" aca="1" ref="F153" ca="1">COUNTA(_xludf.UNIQUE(_xlws.FILTER(F5:F152,F5:F152&lt;&gt;"")))</f>
        <v>1</v>
      </c>
      <c r="G153" s="19">
        <f t="array" aca="1" ref="G153" ca="1">COUNTA(_xludf.UNIQUE(_xlws.FILTER(G5:G152,G5:G152&lt;&gt;"")))</f>
        <v>1</v>
      </c>
    </row>
    <row r="154" spans="2:7" ht="15.75" customHeight="1" x14ac:dyDescent="0.25">
      <c r="C154" s="2"/>
      <c r="F154" s="2"/>
    </row>
    <row r="155" spans="2:7" ht="15.75" customHeight="1" x14ac:dyDescent="0.25">
      <c r="C155" s="2"/>
      <c r="F155" s="2"/>
    </row>
    <row r="156" spans="2:7" ht="15.75" customHeight="1" x14ac:dyDescent="0.25">
      <c r="C156" s="2"/>
      <c r="F156" s="2"/>
    </row>
    <row r="157" spans="2:7" ht="15.75" customHeight="1" x14ac:dyDescent="0.25">
      <c r="C157" s="2"/>
      <c r="F157" s="2"/>
    </row>
    <row r="158" spans="2:7" ht="15.75" customHeight="1" x14ac:dyDescent="0.25">
      <c r="C158" s="2"/>
      <c r="F158" s="2"/>
    </row>
    <row r="159" spans="2:7" ht="15.75" customHeight="1" x14ac:dyDescent="0.25">
      <c r="C159" s="2"/>
      <c r="F159" s="2"/>
    </row>
    <row r="160" spans="2:7" ht="15.75" customHeight="1" x14ac:dyDescent="0.25">
      <c r="C160" s="2"/>
      <c r="F160" s="2"/>
    </row>
    <row r="161" spans="3:6" ht="15.75" customHeight="1" x14ac:dyDescent="0.25">
      <c r="C161" s="2"/>
      <c r="F161" s="2"/>
    </row>
    <row r="162" spans="3:6" ht="15.75" customHeight="1" x14ac:dyDescent="0.25">
      <c r="C162" s="2"/>
      <c r="F162" s="2"/>
    </row>
    <row r="163" spans="3:6" ht="15.75" customHeight="1" x14ac:dyDescent="0.25">
      <c r="C163" s="2"/>
      <c r="F163" s="2"/>
    </row>
    <row r="164" spans="3:6" ht="15.75" customHeight="1" x14ac:dyDescent="0.25">
      <c r="C164" s="2"/>
      <c r="F164" s="2"/>
    </row>
    <row r="165" spans="3:6" ht="15.75" customHeight="1" x14ac:dyDescent="0.25">
      <c r="C165" s="2"/>
      <c r="F165" s="2"/>
    </row>
    <row r="166" spans="3:6" ht="15.75" customHeight="1" x14ac:dyDescent="0.25">
      <c r="C166" s="2"/>
      <c r="F166" s="2"/>
    </row>
    <row r="167" spans="3:6" ht="15.75" customHeight="1" x14ac:dyDescent="0.25">
      <c r="C167" s="2"/>
      <c r="F167" s="2"/>
    </row>
    <row r="168" spans="3:6" ht="15.75" customHeight="1" x14ac:dyDescent="0.25">
      <c r="C168" s="2"/>
      <c r="F168" s="2"/>
    </row>
    <row r="169" spans="3:6" ht="15.75" customHeight="1" x14ac:dyDescent="0.25">
      <c r="C169" s="2"/>
      <c r="F169" s="2"/>
    </row>
    <row r="170" spans="3:6" ht="15.75" customHeight="1" x14ac:dyDescent="0.25">
      <c r="C170" s="2"/>
      <c r="F170" s="2"/>
    </row>
    <row r="171" spans="3:6" ht="15.75" customHeight="1" x14ac:dyDescent="0.25">
      <c r="C171" s="2"/>
      <c r="F171" s="2"/>
    </row>
    <row r="172" spans="3:6" ht="15.75" customHeight="1" x14ac:dyDescent="0.25">
      <c r="C172" s="2"/>
      <c r="F172" s="2"/>
    </row>
    <row r="173" spans="3:6" ht="15.75" customHeight="1" x14ac:dyDescent="0.25">
      <c r="C173" s="2"/>
      <c r="F173" s="2"/>
    </row>
    <row r="174" spans="3:6" ht="15.75" customHeight="1" x14ac:dyDescent="0.25">
      <c r="C174" s="2"/>
      <c r="F174" s="2"/>
    </row>
    <row r="175" spans="3:6" ht="15.75" customHeight="1" x14ac:dyDescent="0.25">
      <c r="C175" s="2"/>
      <c r="F175" s="2"/>
    </row>
    <row r="176" spans="3:6" ht="15.75" customHeight="1" x14ac:dyDescent="0.25">
      <c r="C176" s="2"/>
      <c r="F176" s="2"/>
    </row>
    <row r="177" spans="3:6" ht="15.75" customHeight="1" x14ac:dyDescent="0.25">
      <c r="C177" s="2"/>
      <c r="F177" s="2"/>
    </row>
    <row r="178" spans="3:6" ht="15.75" customHeight="1" x14ac:dyDescent="0.25">
      <c r="C178" s="2"/>
      <c r="F178" s="2"/>
    </row>
    <row r="179" spans="3:6" ht="15.75" customHeight="1" x14ac:dyDescent="0.25">
      <c r="C179" s="2"/>
      <c r="F179" s="2"/>
    </row>
    <row r="180" spans="3:6" ht="15.75" customHeight="1" x14ac:dyDescent="0.25">
      <c r="C180" s="2"/>
      <c r="F180" s="2"/>
    </row>
    <row r="181" spans="3:6" ht="15.75" customHeight="1" x14ac:dyDescent="0.25">
      <c r="C181" s="2"/>
      <c r="F181" s="2"/>
    </row>
    <row r="182" spans="3:6" ht="15.75" customHeight="1" x14ac:dyDescent="0.25">
      <c r="C182" s="2"/>
      <c r="F182" s="2"/>
    </row>
    <row r="183" spans="3:6" ht="15.75" customHeight="1" x14ac:dyDescent="0.25">
      <c r="C183" s="2"/>
      <c r="F183" s="2"/>
    </row>
    <row r="184" spans="3:6" ht="15.75" customHeight="1" x14ac:dyDescent="0.25">
      <c r="C184" s="2"/>
      <c r="F184" s="2"/>
    </row>
    <row r="185" spans="3:6" ht="15.75" customHeight="1" x14ac:dyDescent="0.25">
      <c r="C185" s="2"/>
      <c r="F185" s="2"/>
    </row>
    <row r="186" spans="3:6" ht="15.75" customHeight="1" x14ac:dyDescent="0.25">
      <c r="C186" s="2"/>
      <c r="F186" s="2"/>
    </row>
    <row r="187" spans="3:6" ht="15.75" customHeight="1" x14ac:dyDescent="0.25">
      <c r="C187" s="2"/>
      <c r="F187" s="2"/>
    </row>
    <row r="188" spans="3:6" ht="15.75" customHeight="1" x14ac:dyDescent="0.25">
      <c r="C188" s="2"/>
      <c r="F188" s="2"/>
    </row>
    <row r="189" spans="3:6" ht="15.75" customHeight="1" x14ac:dyDescent="0.25">
      <c r="C189" s="2"/>
      <c r="F189" s="2"/>
    </row>
    <row r="190" spans="3:6" ht="15.75" customHeight="1" x14ac:dyDescent="0.25">
      <c r="C190" s="2"/>
      <c r="F190" s="2"/>
    </row>
    <row r="191" spans="3:6" ht="15.75" customHeight="1" x14ac:dyDescent="0.25">
      <c r="C191" s="2"/>
      <c r="F191" s="2"/>
    </row>
    <row r="192" spans="3:6" ht="15.75" customHeight="1" x14ac:dyDescent="0.25">
      <c r="C192" s="2"/>
      <c r="F192" s="2"/>
    </row>
    <row r="193" spans="3:6" ht="15.75" customHeight="1" x14ac:dyDescent="0.25">
      <c r="C193" s="2"/>
      <c r="F193" s="2"/>
    </row>
    <row r="194" spans="3:6" ht="15.75" customHeight="1" x14ac:dyDescent="0.25">
      <c r="C194" s="2"/>
      <c r="F194" s="2"/>
    </row>
    <row r="195" spans="3:6" ht="15.75" customHeight="1" x14ac:dyDescent="0.25">
      <c r="C195" s="2"/>
      <c r="F195" s="2"/>
    </row>
    <row r="196" spans="3:6" ht="15.75" customHeight="1" x14ac:dyDescent="0.25">
      <c r="C196" s="2"/>
      <c r="F196" s="2"/>
    </row>
    <row r="197" spans="3:6" ht="15.75" customHeight="1" x14ac:dyDescent="0.25">
      <c r="C197" s="2"/>
      <c r="F197" s="2"/>
    </row>
    <row r="198" spans="3:6" ht="15.75" customHeight="1" x14ac:dyDescent="0.25">
      <c r="C198" s="2"/>
      <c r="F198" s="2"/>
    </row>
    <row r="199" spans="3:6" ht="15.75" customHeight="1" x14ac:dyDescent="0.25">
      <c r="C199" s="2"/>
      <c r="F199" s="2"/>
    </row>
    <row r="200" spans="3:6" ht="15.75" customHeight="1" x14ac:dyDescent="0.25">
      <c r="C200" s="2"/>
      <c r="F200" s="2"/>
    </row>
    <row r="201" spans="3:6" ht="15.75" customHeight="1" x14ac:dyDescent="0.25">
      <c r="C201" s="2"/>
      <c r="F201" s="2"/>
    </row>
    <row r="202" spans="3:6" ht="15.75" customHeight="1" x14ac:dyDescent="0.25">
      <c r="C202" s="2"/>
      <c r="F202" s="2"/>
    </row>
    <row r="203" spans="3:6" ht="15.75" customHeight="1" x14ac:dyDescent="0.25">
      <c r="C203" s="2"/>
      <c r="F203" s="2"/>
    </row>
    <row r="204" spans="3:6" ht="15.75" customHeight="1" x14ac:dyDescent="0.25">
      <c r="C204" s="2"/>
      <c r="F204" s="2"/>
    </row>
    <row r="205" spans="3:6" ht="15.75" customHeight="1" x14ac:dyDescent="0.25">
      <c r="C205" s="2"/>
      <c r="F205" s="2"/>
    </row>
    <row r="206" spans="3:6" ht="15.75" customHeight="1" x14ac:dyDescent="0.25">
      <c r="C206" s="2"/>
      <c r="F206" s="2"/>
    </row>
    <row r="207" spans="3:6" ht="15.75" customHeight="1" x14ac:dyDescent="0.25">
      <c r="C207" s="2"/>
      <c r="F207" s="2"/>
    </row>
    <row r="208" spans="3:6" ht="15.75" customHeight="1" x14ac:dyDescent="0.25">
      <c r="C208" s="2"/>
      <c r="F208" s="2"/>
    </row>
    <row r="209" spans="3:6" ht="15.75" customHeight="1" x14ac:dyDescent="0.25">
      <c r="C209" s="2"/>
      <c r="F209" s="2"/>
    </row>
    <row r="210" spans="3:6" ht="15.75" customHeight="1" x14ac:dyDescent="0.25">
      <c r="C210" s="2"/>
      <c r="F210" s="2"/>
    </row>
    <row r="211" spans="3:6" ht="15.75" customHeight="1" x14ac:dyDescent="0.25">
      <c r="C211" s="2"/>
      <c r="F211" s="2"/>
    </row>
    <row r="212" spans="3:6" ht="15.75" customHeight="1" x14ac:dyDescent="0.25">
      <c r="C212" s="2"/>
      <c r="F212" s="2"/>
    </row>
    <row r="213" spans="3:6" ht="15.75" customHeight="1" x14ac:dyDescent="0.25">
      <c r="C213" s="2"/>
      <c r="F213" s="2"/>
    </row>
    <row r="214" spans="3:6" ht="15.75" customHeight="1" x14ac:dyDescent="0.25">
      <c r="C214" s="2"/>
      <c r="F214" s="2"/>
    </row>
    <row r="215" spans="3:6" ht="15.75" customHeight="1" x14ac:dyDescent="0.25">
      <c r="C215" s="2"/>
      <c r="F215" s="2"/>
    </row>
    <row r="216" spans="3:6" ht="15.75" customHeight="1" x14ac:dyDescent="0.25">
      <c r="C216" s="2"/>
      <c r="F216" s="2"/>
    </row>
    <row r="217" spans="3:6" ht="15.75" customHeight="1" x14ac:dyDescent="0.25">
      <c r="C217" s="2"/>
      <c r="F217" s="2"/>
    </row>
    <row r="218" spans="3:6" ht="15.75" customHeight="1" x14ac:dyDescent="0.25">
      <c r="C218" s="2"/>
      <c r="F218" s="2"/>
    </row>
    <row r="219" spans="3:6" ht="15.75" customHeight="1" x14ac:dyDescent="0.25">
      <c r="C219" s="2"/>
      <c r="F219" s="2"/>
    </row>
    <row r="220" spans="3:6" ht="15.75" customHeight="1" x14ac:dyDescent="0.25">
      <c r="C220" s="2"/>
      <c r="F220" s="2"/>
    </row>
    <row r="221" spans="3:6" ht="15.75" customHeight="1" x14ac:dyDescent="0.25">
      <c r="C221" s="2"/>
      <c r="F221" s="2"/>
    </row>
    <row r="222" spans="3:6" ht="15.75" customHeight="1" x14ac:dyDescent="0.25">
      <c r="C222" s="2"/>
      <c r="F222" s="2"/>
    </row>
    <row r="223" spans="3:6" ht="15.75" customHeight="1" x14ac:dyDescent="0.25">
      <c r="C223" s="2"/>
      <c r="F223" s="2"/>
    </row>
    <row r="224" spans="3:6" ht="15.75" customHeight="1" x14ac:dyDescent="0.25">
      <c r="C224" s="2"/>
      <c r="F224" s="2"/>
    </row>
    <row r="225" spans="3:6" ht="15.75" customHeight="1" x14ac:dyDescent="0.25">
      <c r="C225" s="2"/>
      <c r="F225" s="2"/>
    </row>
    <row r="226" spans="3:6" ht="15.75" customHeight="1" x14ac:dyDescent="0.25">
      <c r="C226" s="2"/>
      <c r="F226" s="2"/>
    </row>
    <row r="227" spans="3:6" ht="15.75" customHeight="1" x14ac:dyDescent="0.25">
      <c r="C227" s="2"/>
      <c r="F227" s="2"/>
    </row>
    <row r="228" spans="3:6" ht="15.75" customHeight="1" x14ac:dyDescent="0.25">
      <c r="C228" s="2"/>
      <c r="F228" s="2"/>
    </row>
    <row r="229" spans="3:6" ht="15.75" customHeight="1" x14ac:dyDescent="0.25">
      <c r="C229" s="2"/>
      <c r="F229" s="2"/>
    </row>
    <row r="230" spans="3:6" ht="15.75" customHeight="1" x14ac:dyDescent="0.25">
      <c r="C230" s="2"/>
      <c r="F230" s="2"/>
    </row>
    <row r="231" spans="3:6" ht="15.75" customHeight="1" x14ac:dyDescent="0.25">
      <c r="C231" s="2"/>
      <c r="F231" s="2"/>
    </row>
    <row r="232" spans="3:6" ht="15.75" customHeight="1" x14ac:dyDescent="0.25">
      <c r="C232" s="2"/>
      <c r="F232" s="2"/>
    </row>
    <row r="233" spans="3:6" ht="15.75" customHeight="1" x14ac:dyDescent="0.25">
      <c r="C233" s="2"/>
      <c r="F233" s="2"/>
    </row>
    <row r="234" spans="3:6" ht="15.75" customHeight="1" x14ac:dyDescent="0.25">
      <c r="C234" s="2"/>
      <c r="F234" s="2"/>
    </row>
    <row r="235" spans="3:6" ht="15.75" customHeight="1" x14ac:dyDescent="0.25">
      <c r="C235" s="2"/>
      <c r="F235" s="2"/>
    </row>
    <row r="236" spans="3:6" ht="15.75" customHeight="1" x14ac:dyDescent="0.25">
      <c r="C236" s="2"/>
      <c r="F236" s="2"/>
    </row>
    <row r="237" spans="3:6" ht="15.75" customHeight="1" x14ac:dyDescent="0.25">
      <c r="C237" s="2"/>
      <c r="F237" s="2"/>
    </row>
    <row r="238" spans="3:6" ht="15.75" customHeight="1" x14ac:dyDescent="0.25">
      <c r="C238" s="2"/>
      <c r="F238" s="2"/>
    </row>
    <row r="239" spans="3:6" ht="15.75" customHeight="1" x14ac:dyDescent="0.25">
      <c r="C239" s="2"/>
      <c r="F239" s="2"/>
    </row>
    <row r="240" spans="3:6" ht="15.75" customHeight="1" x14ac:dyDescent="0.25">
      <c r="C240" s="2"/>
      <c r="F240" s="2"/>
    </row>
    <row r="241" spans="3:6" ht="15.75" customHeight="1" x14ac:dyDescent="0.25">
      <c r="C241" s="2"/>
      <c r="F241" s="2"/>
    </row>
    <row r="242" spans="3:6" ht="15.75" customHeight="1" x14ac:dyDescent="0.25">
      <c r="C242" s="2"/>
      <c r="F242" s="2"/>
    </row>
    <row r="243" spans="3:6" ht="15.75" customHeight="1" x14ac:dyDescent="0.25">
      <c r="C243" s="2"/>
      <c r="F243" s="2"/>
    </row>
    <row r="244" spans="3:6" ht="15.75" customHeight="1" x14ac:dyDescent="0.25">
      <c r="C244" s="2"/>
      <c r="F244" s="2"/>
    </row>
    <row r="245" spans="3:6" ht="15.75" customHeight="1" x14ac:dyDescent="0.25">
      <c r="C245" s="2"/>
      <c r="F245" s="2"/>
    </row>
    <row r="246" spans="3:6" ht="15.75" customHeight="1" x14ac:dyDescent="0.25">
      <c r="C246" s="2"/>
      <c r="F246" s="2"/>
    </row>
    <row r="247" spans="3:6" ht="15.75" customHeight="1" x14ac:dyDescent="0.25">
      <c r="C247" s="2"/>
      <c r="F247" s="2"/>
    </row>
    <row r="248" spans="3:6" ht="15.75" customHeight="1" x14ac:dyDescent="0.25">
      <c r="C248" s="2"/>
      <c r="F248" s="2"/>
    </row>
    <row r="249" spans="3:6" ht="15.75" customHeight="1" x14ac:dyDescent="0.25">
      <c r="C249" s="2"/>
      <c r="F249" s="2"/>
    </row>
    <row r="250" spans="3:6" ht="15.75" customHeight="1" x14ac:dyDescent="0.25">
      <c r="C250" s="2"/>
      <c r="F250" s="2"/>
    </row>
    <row r="251" spans="3:6" ht="15.75" customHeight="1" x14ac:dyDescent="0.25">
      <c r="C251" s="2"/>
      <c r="F251" s="2"/>
    </row>
    <row r="252" spans="3:6" ht="15.75" customHeight="1" x14ac:dyDescent="0.25">
      <c r="C252" s="2"/>
      <c r="F252" s="2"/>
    </row>
    <row r="253" spans="3:6" ht="15.75" customHeight="1" x14ac:dyDescent="0.25">
      <c r="C253" s="2"/>
      <c r="F253" s="2"/>
    </row>
    <row r="254" spans="3:6" ht="15.75" customHeight="1" x14ac:dyDescent="0.25">
      <c r="C254" s="2"/>
      <c r="F254" s="2"/>
    </row>
    <row r="255" spans="3:6" ht="15.75" customHeight="1" x14ac:dyDescent="0.25">
      <c r="C255" s="2"/>
      <c r="F255" s="2"/>
    </row>
    <row r="256" spans="3:6" ht="15.75" customHeight="1" x14ac:dyDescent="0.25">
      <c r="C256" s="2"/>
      <c r="F256" s="2"/>
    </row>
    <row r="257" spans="3:6" ht="15.75" customHeight="1" x14ac:dyDescent="0.25">
      <c r="C257" s="2"/>
      <c r="F257" s="2"/>
    </row>
    <row r="258" spans="3:6" ht="15.75" customHeight="1" x14ac:dyDescent="0.25">
      <c r="C258" s="2"/>
      <c r="F258" s="2"/>
    </row>
    <row r="259" spans="3:6" ht="15.75" customHeight="1" x14ac:dyDescent="0.25">
      <c r="C259" s="2"/>
      <c r="F259" s="2"/>
    </row>
    <row r="260" spans="3:6" ht="15.75" customHeight="1" x14ac:dyDescent="0.25">
      <c r="C260" s="2"/>
      <c r="F260" s="2"/>
    </row>
    <row r="261" spans="3:6" ht="15.75" customHeight="1" x14ac:dyDescent="0.25">
      <c r="C261" s="2"/>
      <c r="F261" s="2"/>
    </row>
    <row r="262" spans="3:6" ht="15.75" customHeight="1" x14ac:dyDescent="0.25">
      <c r="C262" s="2"/>
      <c r="F262" s="2"/>
    </row>
    <row r="263" spans="3:6" ht="15.75" customHeight="1" x14ac:dyDescent="0.25">
      <c r="C263" s="2"/>
      <c r="F263" s="2"/>
    </row>
    <row r="264" spans="3:6" ht="15.75" customHeight="1" x14ac:dyDescent="0.25">
      <c r="C264" s="2"/>
      <c r="F264" s="2"/>
    </row>
    <row r="265" spans="3:6" ht="15.75" customHeight="1" x14ac:dyDescent="0.25">
      <c r="C265" s="2"/>
      <c r="F265" s="2"/>
    </row>
    <row r="266" spans="3:6" ht="15.75" customHeight="1" x14ac:dyDescent="0.25">
      <c r="C266" s="2"/>
      <c r="F266" s="2"/>
    </row>
    <row r="267" spans="3:6" ht="15.75" customHeight="1" x14ac:dyDescent="0.25">
      <c r="C267" s="2"/>
      <c r="F267" s="2"/>
    </row>
    <row r="268" spans="3:6" ht="15.75" customHeight="1" x14ac:dyDescent="0.25">
      <c r="C268" s="2"/>
      <c r="F268" s="2"/>
    </row>
    <row r="269" spans="3:6" ht="15.75" customHeight="1" x14ac:dyDescent="0.25">
      <c r="C269" s="2"/>
      <c r="F269" s="2"/>
    </row>
    <row r="270" spans="3:6" ht="15.75" customHeight="1" x14ac:dyDescent="0.25">
      <c r="C270" s="2"/>
      <c r="F270" s="2"/>
    </row>
    <row r="271" spans="3:6" ht="15.75" customHeight="1" x14ac:dyDescent="0.25">
      <c r="C271" s="2"/>
      <c r="F271" s="2"/>
    </row>
    <row r="272" spans="3:6" ht="15.75" customHeight="1" x14ac:dyDescent="0.25">
      <c r="C272" s="2"/>
      <c r="F272" s="2"/>
    </row>
    <row r="273" spans="3:6" ht="15.75" customHeight="1" x14ac:dyDescent="0.25">
      <c r="C273" s="2"/>
      <c r="F273" s="2"/>
    </row>
    <row r="274" spans="3:6" ht="15.75" customHeight="1" x14ac:dyDescent="0.25">
      <c r="C274" s="2"/>
      <c r="F274" s="2"/>
    </row>
    <row r="275" spans="3:6" ht="15.75" customHeight="1" x14ac:dyDescent="0.25">
      <c r="C275" s="2"/>
      <c r="F275" s="2"/>
    </row>
    <row r="276" spans="3:6" ht="15.75" customHeight="1" x14ac:dyDescent="0.25">
      <c r="C276" s="2"/>
      <c r="F276" s="2"/>
    </row>
    <row r="277" spans="3:6" ht="15.75" customHeight="1" x14ac:dyDescent="0.25">
      <c r="C277" s="2"/>
      <c r="F277" s="2"/>
    </row>
    <row r="278" spans="3:6" ht="15.75" customHeight="1" x14ac:dyDescent="0.25">
      <c r="C278" s="2"/>
      <c r="F278" s="2"/>
    </row>
    <row r="279" spans="3:6" ht="15.75" customHeight="1" x14ac:dyDescent="0.25">
      <c r="C279" s="2"/>
      <c r="F279" s="2"/>
    </row>
    <row r="280" spans="3:6" ht="15.75" customHeight="1" x14ac:dyDescent="0.25">
      <c r="C280" s="2"/>
      <c r="F280" s="2"/>
    </row>
    <row r="281" spans="3:6" ht="15.75" customHeight="1" x14ac:dyDescent="0.25">
      <c r="C281" s="2"/>
      <c r="F281" s="2"/>
    </row>
    <row r="282" spans="3:6" ht="15.75" customHeight="1" x14ac:dyDescent="0.25">
      <c r="C282" s="2"/>
      <c r="F282" s="2"/>
    </row>
    <row r="283" spans="3:6" ht="15.75" customHeight="1" x14ac:dyDescent="0.25">
      <c r="C283" s="2"/>
      <c r="F283" s="2"/>
    </row>
    <row r="284" spans="3:6" ht="15.75" customHeight="1" x14ac:dyDescent="0.25">
      <c r="C284" s="2"/>
      <c r="F284" s="2"/>
    </row>
    <row r="285" spans="3:6" ht="15.75" customHeight="1" x14ac:dyDescent="0.25">
      <c r="C285" s="2"/>
      <c r="F285" s="2"/>
    </row>
    <row r="286" spans="3:6" ht="15.75" customHeight="1" x14ac:dyDescent="0.25">
      <c r="C286" s="2"/>
      <c r="F286" s="2"/>
    </row>
    <row r="287" spans="3:6" ht="15.75" customHeight="1" x14ac:dyDescent="0.25">
      <c r="C287" s="2"/>
      <c r="F287" s="2"/>
    </row>
    <row r="288" spans="3:6" ht="15.75" customHeight="1" x14ac:dyDescent="0.25">
      <c r="C288" s="2"/>
      <c r="F288" s="2"/>
    </row>
    <row r="289" spans="3:6" ht="15.75" customHeight="1" x14ac:dyDescent="0.25">
      <c r="C289" s="2"/>
      <c r="F289" s="2"/>
    </row>
    <row r="290" spans="3:6" ht="15.75" customHeight="1" x14ac:dyDescent="0.25">
      <c r="C290" s="2"/>
      <c r="F290" s="2"/>
    </row>
    <row r="291" spans="3:6" ht="15.75" customHeight="1" x14ac:dyDescent="0.25">
      <c r="C291" s="2"/>
      <c r="F291" s="2"/>
    </row>
    <row r="292" spans="3:6" ht="15.75" customHeight="1" x14ac:dyDescent="0.25">
      <c r="C292" s="2"/>
      <c r="F292" s="2"/>
    </row>
    <row r="293" spans="3:6" ht="15.75" customHeight="1" x14ac:dyDescent="0.25">
      <c r="C293" s="2"/>
      <c r="F293" s="2"/>
    </row>
    <row r="294" spans="3:6" ht="15.75" customHeight="1" x14ac:dyDescent="0.25">
      <c r="C294" s="2"/>
      <c r="F294" s="2"/>
    </row>
    <row r="295" spans="3:6" ht="15.75" customHeight="1" x14ac:dyDescent="0.25">
      <c r="C295" s="2"/>
      <c r="F295" s="2"/>
    </row>
    <row r="296" spans="3:6" ht="15.75" customHeight="1" x14ac:dyDescent="0.25">
      <c r="C296" s="2"/>
      <c r="F296" s="2"/>
    </row>
    <row r="297" spans="3:6" ht="15.75" customHeight="1" x14ac:dyDescent="0.25">
      <c r="C297" s="2"/>
      <c r="F297" s="2"/>
    </row>
    <row r="298" spans="3:6" ht="15.75" customHeight="1" x14ac:dyDescent="0.25">
      <c r="C298" s="2"/>
      <c r="F298" s="2"/>
    </row>
    <row r="299" spans="3:6" ht="15.75" customHeight="1" x14ac:dyDescent="0.25">
      <c r="C299" s="2"/>
      <c r="F299" s="2"/>
    </row>
    <row r="300" spans="3:6" ht="15.75" customHeight="1" x14ac:dyDescent="0.25">
      <c r="C300" s="2"/>
      <c r="F300" s="2"/>
    </row>
    <row r="301" spans="3:6" ht="15.75" customHeight="1" x14ac:dyDescent="0.25">
      <c r="C301" s="2"/>
      <c r="F301" s="2"/>
    </row>
    <row r="302" spans="3:6" ht="15.75" customHeight="1" x14ac:dyDescent="0.25">
      <c r="C302" s="2"/>
      <c r="F302" s="2"/>
    </row>
    <row r="303" spans="3:6" ht="15.75" customHeight="1" x14ac:dyDescent="0.25">
      <c r="C303" s="2"/>
      <c r="F303" s="2"/>
    </row>
    <row r="304" spans="3:6" ht="15.75" customHeight="1" x14ac:dyDescent="0.25">
      <c r="C304" s="2"/>
      <c r="F304" s="2"/>
    </row>
    <row r="305" spans="3:6" ht="15.75" customHeight="1" x14ac:dyDescent="0.25">
      <c r="C305" s="2"/>
      <c r="F305" s="2"/>
    </row>
    <row r="306" spans="3:6" ht="15.75" customHeight="1" x14ac:dyDescent="0.25">
      <c r="C306" s="2"/>
      <c r="F306" s="2"/>
    </row>
    <row r="307" spans="3:6" ht="15.75" customHeight="1" x14ac:dyDescent="0.25">
      <c r="C307" s="2"/>
      <c r="F307" s="2"/>
    </row>
    <row r="308" spans="3:6" ht="15.75" customHeight="1" x14ac:dyDescent="0.25">
      <c r="C308" s="2"/>
      <c r="F308" s="2"/>
    </row>
    <row r="309" spans="3:6" ht="15.75" customHeight="1" x14ac:dyDescent="0.25">
      <c r="C309" s="2"/>
      <c r="F309" s="2"/>
    </row>
    <row r="310" spans="3:6" ht="15.75" customHeight="1" x14ac:dyDescent="0.25">
      <c r="C310" s="2"/>
      <c r="F310" s="2"/>
    </row>
    <row r="311" spans="3:6" ht="15.75" customHeight="1" x14ac:dyDescent="0.25">
      <c r="C311" s="2"/>
      <c r="F311" s="2"/>
    </row>
    <row r="312" spans="3:6" ht="15.75" customHeight="1" x14ac:dyDescent="0.25">
      <c r="C312" s="2"/>
      <c r="F312" s="2"/>
    </row>
    <row r="313" spans="3:6" ht="15.75" customHeight="1" x14ac:dyDescent="0.25">
      <c r="C313" s="2"/>
      <c r="F313" s="2"/>
    </row>
    <row r="314" spans="3:6" ht="15.75" customHeight="1" x14ac:dyDescent="0.25">
      <c r="C314" s="2"/>
      <c r="F314" s="2"/>
    </row>
    <row r="315" spans="3:6" ht="15.75" customHeight="1" x14ac:dyDescent="0.25">
      <c r="C315" s="2"/>
      <c r="F315" s="2"/>
    </row>
    <row r="316" spans="3:6" ht="15.75" customHeight="1" x14ac:dyDescent="0.25">
      <c r="C316" s="2"/>
      <c r="F316" s="2"/>
    </row>
    <row r="317" spans="3:6" ht="15.75" customHeight="1" x14ac:dyDescent="0.25">
      <c r="C317" s="2"/>
      <c r="F317" s="2"/>
    </row>
    <row r="318" spans="3:6" ht="15.75" customHeight="1" x14ac:dyDescent="0.25">
      <c r="C318" s="2"/>
      <c r="F318" s="2"/>
    </row>
    <row r="319" spans="3:6" ht="15.75" customHeight="1" x14ac:dyDescent="0.25">
      <c r="C319" s="2"/>
      <c r="F319" s="2"/>
    </row>
    <row r="320" spans="3:6" ht="15.75" customHeight="1" x14ac:dyDescent="0.25">
      <c r="C320" s="2"/>
      <c r="F320" s="2"/>
    </row>
    <row r="321" spans="3:6" ht="15.75" customHeight="1" x14ac:dyDescent="0.25">
      <c r="C321" s="2"/>
      <c r="F321" s="2"/>
    </row>
    <row r="322" spans="3:6" ht="15.75" customHeight="1" x14ac:dyDescent="0.25">
      <c r="C322" s="2"/>
      <c r="F322" s="2"/>
    </row>
    <row r="323" spans="3:6" ht="15.75" customHeight="1" x14ac:dyDescent="0.25">
      <c r="C323" s="2"/>
      <c r="F323" s="2"/>
    </row>
    <row r="324" spans="3:6" ht="15.75" customHeight="1" x14ac:dyDescent="0.25">
      <c r="C324" s="2"/>
      <c r="F324" s="2"/>
    </row>
    <row r="325" spans="3:6" ht="15.75" customHeight="1" x14ac:dyDescent="0.25">
      <c r="C325" s="2"/>
      <c r="F325" s="2"/>
    </row>
    <row r="326" spans="3:6" ht="15.75" customHeight="1" x14ac:dyDescent="0.25">
      <c r="C326" s="2"/>
      <c r="F326" s="2"/>
    </row>
    <row r="327" spans="3:6" ht="15.75" customHeight="1" x14ac:dyDescent="0.25">
      <c r="C327" s="2"/>
      <c r="F327" s="2"/>
    </row>
    <row r="328" spans="3:6" ht="15.75" customHeight="1" x14ac:dyDescent="0.25">
      <c r="C328" s="2"/>
      <c r="F328" s="2"/>
    </row>
    <row r="329" spans="3:6" ht="15.75" customHeight="1" x14ac:dyDescent="0.25">
      <c r="C329" s="2"/>
      <c r="F329" s="2"/>
    </row>
    <row r="330" spans="3:6" ht="15.75" customHeight="1" x14ac:dyDescent="0.25">
      <c r="C330" s="2"/>
      <c r="F330" s="2"/>
    </row>
    <row r="331" spans="3:6" ht="15.75" customHeight="1" x14ac:dyDescent="0.25">
      <c r="C331" s="2"/>
      <c r="F331" s="2"/>
    </row>
    <row r="332" spans="3:6" ht="15.75" customHeight="1" x14ac:dyDescent="0.25">
      <c r="C332" s="2"/>
      <c r="F332" s="2"/>
    </row>
    <row r="333" spans="3:6" ht="15.75" customHeight="1" x14ac:dyDescent="0.25">
      <c r="C333" s="2"/>
      <c r="F333" s="2"/>
    </row>
    <row r="334" spans="3:6" ht="15.75" customHeight="1" x14ac:dyDescent="0.25">
      <c r="C334" s="2"/>
      <c r="F334" s="2"/>
    </row>
    <row r="335" spans="3:6" ht="15.75" customHeight="1" x14ac:dyDescent="0.25">
      <c r="C335" s="2"/>
      <c r="F335" s="2"/>
    </row>
    <row r="336" spans="3:6" ht="15.75" customHeight="1" x14ac:dyDescent="0.25">
      <c r="C336" s="2"/>
      <c r="F336" s="2"/>
    </row>
    <row r="337" spans="3:6" ht="15.75" customHeight="1" x14ac:dyDescent="0.25">
      <c r="C337" s="2"/>
      <c r="F337" s="2"/>
    </row>
    <row r="338" spans="3:6" ht="15.75" customHeight="1" x14ac:dyDescent="0.25">
      <c r="C338" s="2"/>
      <c r="F338" s="2"/>
    </row>
    <row r="339" spans="3:6" ht="15.75" customHeight="1" x14ac:dyDescent="0.25">
      <c r="C339" s="2"/>
      <c r="F339" s="2"/>
    </row>
    <row r="340" spans="3:6" ht="15.75" customHeight="1" x14ac:dyDescent="0.25">
      <c r="C340" s="2"/>
      <c r="F340" s="2"/>
    </row>
    <row r="341" spans="3:6" ht="15.75" customHeight="1" x14ac:dyDescent="0.25">
      <c r="C341" s="2"/>
      <c r="F341" s="2"/>
    </row>
    <row r="342" spans="3:6" ht="15.75" customHeight="1" x14ac:dyDescent="0.25">
      <c r="C342" s="2"/>
      <c r="F342" s="2"/>
    </row>
    <row r="343" spans="3:6" ht="15.75" customHeight="1" x14ac:dyDescent="0.25">
      <c r="C343" s="2"/>
      <c r="F343" s="2"/>
    </row>
    <row r="344" spans="3:6" ht="15.75" customHeight="1" x14ac:dyDescent="0.25">
      <c r="C344" s="2"/>
      <c r="F344" s="2"/>
    </row>
    <row r="345" spans="3:6" ht="15.75" customHeight="1" x14ac:dyDescent="0.25">
      <c r="C345" s="2"/>
      <c r="F345" s="2"/>
    </row>
    <row r="346" spans="3:6" ht="15.75" customHeight="1" x14ac:dyDescent="0.25">
      <c r="C346" s="2"/>
      <c r="F346" s="2"/>
    </row>
    <row r="347" spans="3:6" ht="15.75" customHeight="1" x14ac:dyDescent="0.25">
      <c r="C347" s="2"/>
      <c r="F347" s="2"/>
    </row>
    <row r="348" spans="3:6" ht="15.75" customHeight="1" x14ac:dyDescent="0.25">
      <c r="C348" s="2"/>
      <c r="F348" s="2"/>
    </row>
    <row r="349" spans="3:6" ht="15.75" customHeight="1" x14ac:dyDescent="0.25">
      <c r="C349" s="2"/>
      <c r="F349" s="2"/>
    </row>
    <row r="350" spans="3:6" ht="15.75" customHeight="1" x14ac:dyDescent="0.25">
      <c r="C350" s="2"/>
      <c r="F350" s="2"/>
    </row>
    <row r="351" spans="3:6" ht="15.75" customHeight="1" x14ac:dyDescent="0.25">
      <c r="C351" s="2"/>
      <c r="F351" s="2"/>
    </row>
    <row r="352" spans="3:6" ht="15.75" customHeight="1" x14ac:dyDescent="0.25">
      <c r="C352" s="2"/>
      <c r="F352" s="2"/>
    </row>
    <row r="353" spans="3:6" ht="15.75" customHeight="1" x14ac:dyDescent="0.25">
      <c r="C353" s="2"/>
      <c r="F353" s="2"/>
    </row>
    <row r="354" spans="3:6" ht="15.75" customHeight="1" x14ac:dyDescent="0.25">
      <c r="C354" s="2"/>
      <c r="F354" s="2"/>
    </row>
    <row r="355" spans="3:6" ht="15.75" customHeight="1" x14ac:dyDescent="0.25">
      <c r="C355" s="2"/>
      <c r="F355" s="2"/>
    </row>
    <row r="356" spans="3:6" ht="15.75" customHeight="1" x14ac:dyDescent="0.25">
      <c r="C356" s="2"/>
      <c r="F356" s="2"/>
    </row>
    <row r="357" spans="3:6" ht="15.75" customHeight="1" x14ac:dyDescent="0.25">
      <c r="C357" s="2"/>
      <c r="F357" s="2"/>
    </row>
    <row r="358" spans="3:6" ht="15.75" customHeight="1" x14ac:dyDescent="0.25">
      <c r="C358" s="2"/>
      <c r="F358" s="2"/>
    </row>
    <row r="359" spans="3:6" ht="15.75" customHeight="1" x14ac:dyDescent="0.25">
      <c r="C359" s="2"/>
      <c r="F359" s="2"/>
    </row>
    <row r="360" spans="3:6" ht="15.75" customHeight="1" x14ac:dyDescent="0.25">
      <c r="C360" s="2"/>
      <c r="F360" s="2"/>
    </row>
    <row r="361" spans="3:6" ht="15.75" customHeight="1" x14ac:dyDescent="0.25">
      <c r="C361" s="2"/>
      <c r="F361" s="2"/>
    </row>
    <row r="362" spans="3:6" ht="15.75" customHeight="1" x14ac:dyDescent="0.25">
      <c r="C362" s="2"/>
      <c r="F362" s="2"/>
    </row>
    <row r="363" spans="3:6" ht="15.75" customHeight="1" x14ac:dyDescent="0.25">
      <c r="C363" s="2"/>
      <c r="F363" s="2"/>
    </row>
    <row r="364" spans="3:6" ht="15.75" customHeight="1" x14ac:dyDescent="0.25">
      <c r="C364" s="2"/>
      <c r="F364" s="2"/>
    </row>
    <row r="365" spans="3:6" ht="15.75" customHeight="1" x14ac:dyDescent="0.25">
      <c r="C365" s="2"/>
      <c r="F365" s="2"/>
    </row>
    <row r="366" spans="3:6" ht="15.75" customHeight="1" x14ac:dyDescent="0.25">
      <c r="C366" s="2"/>
      <c r="F366" s="2"/>
    </row>
    <row r="367" spans="3:6" ht="15.75" customHeight="1" x14ac:dyDescent="0.25">
      <c r="C367" s="2"/>
      <c r="F367" s="2"/>
    </row>
    <row r="368" spans="3:6" ht="15.75" customHeight="1" x14ac:dyDescent="0.25">
      <c r="C368" s="2"/>
      <c r="F368" s="2"/>
    </row>
    <row r="369" spans="3:6" ht="15.75" customHeight="1" x14ac:dyDescent="0.25">
      <c r="C369" s="2"/>
      <c r="F369" s="2"/>
    </row>
    <row r="370" spans="3:6" ht="15.75" customHeight="1" x14ac:dyDescent="0.25">
      <c r="C370" s="2"/>
      <c r="F370" s="2"/>
    </row>
    <row r="371" spans="3:6" ht="15.75" customHeight="1" x14ac:dyDescent="0.25">
      <c r="C371" s="2"/>
      <c r="F371" s="2"/>
    </row>
    <row r="372" spans="3:6" ht="15.75" customHeight="1" x14ac:dyDescent="0.25">
      <c r="C372" s="2"/>
      <c r="F372" s="2"/>
    </row>
    <row r="373" spans="3:6" ht="15.75" customHeight="1" x14ac:dyDescent="0.25">
      <c r="C373" s="2"/>
      <c r="F373" s="2"/>
    </row>
    <row r="374" spans="3:6" ht="15.75" customHeight="1" x14ac:dyDescent="0.25">
      <c r="C374" s="2"/>
      <c r="F374" s="2"/>
    </row>
    <row r="375" spans="3:6" ht="15.75" customHeight="1" x14ac:dyDescent="0.25">
      <c r="C375" s="2"/>
      <c r="F375" s="2"/>
    </row>
    <row r="376" spans="3:6" ht="15.75" customHeight="1" x14ac:dyDescent="0.25">
      <c r="C376" s="2"/>
      <c r="F376" s="2"/>
    </row>
    <row r="377" spans="3:6" ht="15.75" customHeight="1" x14ac:dyDescent="0.25">
      <c r="C377" s="2"/>
      <c r="F377" s="2"/>
    </row>
    <row r="378" spans="3:6" ht="15.75" customHeight="1" x14ac:dyDescent="0.25">
      <c r="C378" s="2"/>
      <c r="F378" s="2"/>
    </row>
    <row r="379" spans="3:6" ht="15.75" customHeight="1" x14ac:dyDescent="0.25">
      <c r="C379" s="2"/>
      <c r="F379" s="2"/>
    </row>
    <row r="380" spans="3:6" ht="15.75" customHeight="1" x14ac:dyDescent="0.25">
      <c r="C380" s="2"/>
      <c r="F380" s="2"/>
    </row>
    <row r="381" spans="3:6" ht="15.75" customHeight="1" x14ac:dyDescent="0.25">
      <c r="C381" s="2"/>
      <c r="F381" s="2"/>
    </row>
    <row r="382" spans="3:6" ht="15.75" customHeight="1" x14ac:dyDescent="0.25">
      <c r="C382" s="2"/>
      <c r="F382" s="2"/>
    </row>
    <row r="383" spans="3:6" ht="15.75" customHeight="1" x14ac:dyDescent="0.25">
      <c r="C383" s="2"/>
      <c r="F383" s="2"/>
    </row>
    <row r="384" spans="3:6" ht="15.75" customHeight="1" x14ac:dyDescent="0.25">
      <c r="C384" s="2"/>
      <c r="F384" s="2"/>
    </row>
    <row r="385" spans="3:6" ht="15.75" customHeight="1" x14ac:dyDescent="0.25">
      <c r="C385" s="2"/>
      <c r="F385" s="2"/>
    </row>
    <row r="386" spans="3:6" ht="15.75" customHeight="1" x14ac:dyDescent="0.25">
      <c r="C386" s="2"/>
      <c r="F386" s="2"/>
    </row>
    <row r="387" spans="3:6" ht="15.75" customHeight="1" x14ac:dyDescent="0.25">
      <c r="C387" s="2"/>
      <c r="F387" s="2"/>
    </row>
    <row r="388" spans="3:6" ht="15.75" customHeight="1" x14ac:dyDescent="0.25">
      <c r="C388" s="2"/>
      <c r="F388" s="2"/>
    </row>
    <row r="389" spans="3:6" ht="15.75" customHeight="1" x14ac:dyDescent="0.25">
      <c r="C389" s="2"/>
      <c r="F389" s="2"/>
    </row>
    <row r="390" spans="3:6" ht="15.75" customHeight="1" x14ac:dyDescent="0.25">
      <c r="C390" s="2"/>
      <c r="F390" s="2"/>
    </row>
    <row r="391" spans="3:6" ht="15.75" customHeight="1" x14ac:dyDescent="0.25">
      <c r="C391" s="2"/>
      <c r="F391" s="2"/>
    </row>
    <row r="392" spans="3:6" ht="15.75" customHeight="1" x14ac:dyDescent="0.25">
      <c r="C392" s="2"/>
      <c r="F392" s="2"/>
    </row>
    <row r="393" spans="3:6" ht="15.75" customHeight="1" x14ac:dyDescent="0.25">
      <c r="C393" s="2"/>
      <c r="F393" s="2"/>
    </row>
    <row r="394" spans="3:6" ht="15.75" customHeight="1" x14ac:dyDescent="0.25">
      <c r="C394" s="2"/>
      <c r="F394" s="2"/>
    </row>
    <row r="395" spans="3:6" ht="15.75" customHeight="1" x14ac:dyDescent="0.25">
      <c r="C395" s="2"/>
      <c r="F395" s="2"/>
    </row>
    <row r="396" spans="3:6" ht="15.75" customHeight="1" x14ac:dyDescent="0.25">
      <c r="C396" s="2"/>
      <c r="F396" s="2"/>
    </row>
    <row r="397" spans="3:6" ht="15.75" customHeight="1" x14ac:dyDescent="0.25">
      <c r="C397" s="2"/>
      <c r="F397" s="2"/>
    </row>
    <row r="398" spans="3:6" ht="15.75" customHeight="1" x14ac:dyDescent="0.25">
      <c r="C398" s="2"/>
      <c r="F398" s="2"/>
    </row>
    <row r="399" spans="3:6" ht="15.75" customHeight="1" x14ac:dyDescent="0.25">
      <c r="C399" s="2"/>
      <c r="F399" s="2"/>
    </row>
    <row r="400" spans="3:6" ht="15.75" customHeight="1" x14ac:dyDescent="0.25">
      <c r="C400" s="2"/>
      <c r="F400" s="2"/>
    </row>
    <row r="401" spans="3:6" ht="15.75" customHeight="1" x14ac:dyDescent="0.25">
      <c r="C401" s="2"/>
      <c r="F401" s="2"/>
    </row>
    <row r="402" spans="3:6" ht="15.75" customHeight="1" x14ac:dyDescent="0.25">
      <c r="C402" s="2"/>
      <c r="F402" s="2"/>
    </row>
    <row r="403" spans="3:6" ht="15.75" customHeight="1" x14ac:dyDescent="0.25">
      <c r="C403" s="2"/>
      <c r="F403" s="2"/>
    </row>
    <row r="404" spans="3:6" ht="15.75" customHeight="1" x14ac:dyDescent="0.25">
      <c r="C404" s="2"/>
      <c r="F404" s="2"/>
    </row>
    <row r="405" spans="3:6" ht="15.75" customHeight="1" x14ac:dyDescent="0.25">
      <c r="C405" s="2"/>
      <c r="F405" s="2"/>
    </row>
    <row r="406" spans="3:6" ht="15.75" customHeight="1" x14ac:dyDescent="0.25">
      <c r="C406" s="2"/>
      <c r="F406" s="2"/>
    </row>
    <row r="407" spans="3:6" ht="15.75" customHeight="1" x14ac:dyDescent="0.25">
      <c r="C407" s="2"/>
      <c r="F407" s="2"/>
    </row>
    <row r="408" spans="3:6" ht="15.75" customHeight="1" x14ac:dyDescent="0.25">
      <c r="C408" s="2"/>
      <c r="F408" s="2"/>
    </row>
    <row r="409" spans="3:6" ht="15.75" customHeight="1" x14ac:dyDescent="0.25">
      <c r="C409" s="2"/>
      <c r="F409" s="2"/>
    </row>
    <row r="410" spans="3:6" ht="15.75" customHeight="1" x14ac:dyDescent="0.25">
      <c r="C410" s="2"/>
      <c r="F410" s="2"/>
    </row>
    <row r="411" spans="3:6" ht="15.75" customHeight="1" x14ac:dyDescent="0.25">
      <c r="C411" s="2"/>
      <c r="F411" s="2"/>
    </row>
    <row r="412" spans="3:6" ht="15.75" customHeight="1" x14ac:dyDescent="0.25">
      <c r="C412" s="2"/>
      <c r="F412" s="2"/>
    </row>
    <row r="413" spans="3:6" ht="15.75" customHeight="1" x14ac:dyDescent="0.25">
      <c r="C413" s="2"/>
      <c r="F413" s="2"/>
    </row>
    <row r="414" spans="3:6" ht="15.75" customHeight="1" x14ac:dyDescent="0.25">
      <c r="C414" s="2"/>
      <c r="F414" s="2"/>
    </row>
    <row r="415" spans="3:6" ht="15.75" customHeight="1" x14ac:dyDescent="0.25">
      <c r="C415" s="2"/>
      <c r="F415" s="2"/>
    </row>
    <row r="416" spans="3:6" ht="15.75" customHeight="1" x14ac:dyDescent="0.25">
      <c r="C416" s="2"/>
      <c r="F416" s="2"/>
    </row>
    <row r="417" spans="3:6" ht="15.75" customHeight="1" x14ac:dyDescent="0.25">
      <c r="C417" s="2"/>
      <c r="F417" s="2"/>
    </row>
    <row r="418" spans="3:6" ht="15.75" customHeight="1" x14ac:dyDescent="0.25">
      <c r="C418" s="2"/>
      <c r="F418" s="2"/>
    </row>
    <row r="419" spans="3:6" ht="15.75" customHeight="1" x14ac:dyDescent="0.25">
      <c r="C419" s="2"/>
      <c r="F419" s="2"/>
    </row>
    <row r="420" spans="3:6" ht="15.75" customHeight="1" x14ac:dyDescent="0.25">
      <c r="C420" s="2"/>
      <c r="F420" s="2"/>
    </row>
    <row r="421" spans="3:6" ht="15.75" customHeight="1" x14ac:dyDescent="0.25">
      <c r="C421" s="2"/>
      <c r="F421" s="2"/>
    </row>
    <row r="422" spans="3:6" ht="15.75" customHeight="1" x14ac:dyDescent="0.25">
      <c r="C422" s="2"/>
      <c r="F422" s="2"/>
    </row>
    <row r="423" spans="3:6" ht="15.75" customHeight="1" x14ac:dyDescent="0.25">
      <c r="C423" s="2"/>
      <c r="F423" s="2"/>
    </row>
    <row r="424" spans="3:6" ht="15.75" customHeight="1" x14ac:dyDescent="0.25">
      <c r="C424" s="2"/>
      <c r="F424" s="2"/>
    </row>
    <row r="425" spans="3:6" ht="15.75" customHeight="1" x14ac:dyDescent="0.25">
      <c r="C425" s="2"/>
      <c r="F425" s="2"/>
    </row>
    <row r="426" spans="3:6" ht="15.75" customHeight="1" x14ac:dyDescent="0.25">
      <c r="C426" s="2"/>
      <c r="F426" s="2"/>
    </row>
    <row r="427" spans="3:6" ht="15.75" customHeight="1" x14ac:dyDescent="0.25">
      <c r="C427" s="2"/>
      <c r="F427" s="2"/>
    </row>
    <row r="428" spans="3:6" ht="15.75" customHeight="1" x14ac:dyDescent="0.25">
      <c r="C428" s="2"/>
      <c r="F428" s="2"/>
    </row>
    <row r="429" spans="3:6" ht="15.75" customHeight="1" x14ac:dyDescent="0.25">
      <c r="C429" s="2"/>
      <c r="F429" s="2"/>
    </row>
    <row r="430" spans="3:6" ht="15.75" customHeight="1" x14ac:dyDescent="0.25">
      <c r="C430" s="2"/>
      <c r="F430" s="2"/>
    </row>
    <row r="431" spans="3:6" ht="15.75" customHeight="1" x14ac:dyDescent="0.25">
      <c r="C431" s="2"/>
      <c r="F431" s="2"/>
    </row>
    <row r="432" spans="3:6" ht="15.75" customHeight="1" x14ac:dyDescent="0.25">
      <c r="C432" s="2"/>
      <c r="F432" s="2"/>
    </row>
    <row r="433" spans="3:6" ht="15.75" customHeight="1" x14ac:dyDescent="0.25">
      <c r="C433" s="2"/>
      <c r="F433" s="2"/>
    </row>
    <row r="434" spans="3:6" ht="15.75" customHeight="1" x14ac:dyDescent="0.25">
      <c r="C434" s="2"/>
      <c r="F434" s="2"/>
    </row>
    <row r="435" spans="3:6" ht="15.75" customHeight="1" x14ac:dyDescent="0.25">
      <c r="C435" s="2"/>
      <c r="F435" s="2"/>
    </row>
    <row r="436" spans="3:6" ht="15.75" customHeight="1" x14ac:dyDescent="0.25">
      <c r="C436" s="2"/>
      <c r="F436" s="2"/>
    </row>
    <row r="437" spans="3:6" ht="15.75" customHeight="1" x14ac:dyDescent="0.25">
      <c r="C437" s="2"/>
      <c r="F437" s="2"/>
    </row>
    <row r="438" spans="3:6" ht="15.75" customHeight="1" x14ac:dyDescent="0.25">
      <c r="C438" s="2"/>
      <c r="F438" s="2"/>
    </row>
    <row r="439" spans="3:6" ht="15.75" customHeight="1" x14ac:dyDescent="0.25">
      <c r="C439" s="2"/>
      <c r="F439" s="2"/>
    </row>
    <row r="440" spans="3:6" ht="15.75" customHeight="1" x14ac:dyDescent="0.25">
      <c r="C440" s="2"/>
      <c r="F440" s="2"/>
    </row>
    <row r="441" spans="3:6" ht="15.75" customHeight="1" x14ac:dyDescent="0.25">
      <c r="C441" s="2"/>
      <c r="F441" s="2"/>
    </row>
    <row r="442" spans="3:6" ht="15.75" customHeight="1" x14ac:dyDescent="0.25">
      <c r="C442" s="2"/>
      <c r="F442" s="2"/>
    </row>
    <row r="443" spans="3:6" ht="15.75" customHeight="1" x14ac:dyDescent="0.25">
      <c r="C443" s="2"/>
      <c r="F443" s="2"/>
    </row>
    <row r="444" spans="3:6" ht="15.75" customHeight="1" x14ac:dyDescent="0.25">
      <c r="C444" s="2"/>
      <c r="F444" s="2"/>
    </row>
    <row r="445" spans="3:6" ht="15.75" customHeight="1" x14ac:dyDescent="0.25">
      <c r="C445" s="2"/>
      <c r="F445" s="2"/>
    </row>
    <row r="446" spans="3:6" ht="15.75" customHeight="1" x14ac:dyDescent="0.25">
      <c r="C446" s="2"/>
      <c r="F446" s="2"/>
    </row>
    <row r="447" spans="3:6" ht="15.75" customHeight="1" x14ac:dyDescent="0.25">
      <c r="C447" s="2"/>
      <c r="F447" s="2"/>
    </row>
    <row r="448" spans="3:6" ht="15.75" customHeight="1" x14ac:dyDescent="0.25">
      <c r="C448" s="2"/>
      <c r="F448" s="2"/>
    </row>
    <row r="449" spans="3:6" ht="15.75" customHeight="1" x14ac:dyDescent="0.25">
      <c r="C449" s="2"/>
      <c r="F449" s="2"/>
    </row>
    <row r="450" spans="3:6" ht="15.75" customHeight="1" x14ac:dyDescent="0.25">
      <c r="C450" s="2"/>
      <c r="F450" s="2"/>
    </row>
    <row r="451" spans="3:6" ht="15.75" customHeight="1" x14ac:dyDescent="0.25">
      <c r="C451" s="2"/>
      <c r="F451" s="2"/>
    </row>
    <row r="452" spans="3:6" ht="15.75" customHeight="1" x14ac:dyDescent="0.25">
      <c r="C452" s="2"/>
      <c r="F452" s="2"/>
    </row>
    <row r="453" spans="3:6" ht="15.75" customHeight="1" x14ac:dyDescent="0.25">
      <c r="C453" s="2"/>
      <c r="F453" s="2"/>
    </row>
    <row r="454" spans="3:6" ht="15.75" customHeight="1" x14ac:dyDescent="0.25">
      <c r="C454" s="2"/>
      <c r="F454" s="2"/>
    </row>
    <row r="455" spans="3:6" ht="15.75" customHeight="1" x14ac:dyDescent="0.25">
      <c r="C455" s="2"/>
      <c r="F455" s="2"/>
    </row>
    <row r="456" spans="3:6" ht="15.75" customHeight="1" x14ac:dyDescent="0.25">
      <c r="C456" s="2"/>
      <c r="F456" s="2"/>
    </row>
    <row r="457" spans="3:6" ht="15.75" customHeight="1" x14ac:dyDescent="0.25">
      <c r="C457" s="2"/>
      <c r="F457" s="2"/>
    </row>
    <row r="458" spans="3:6" ht="15.75" customHeight="1" x14ac:dyDescent="0.25">
      <c r="C458" s="2"/>
      <c r="F458" s="2"/>
    </row>
    <row r="459" spans="3:6" ht="15.75" customHeight="1" x14ac:dyDescent="0.25">
      <c r="C459" s="2"/>
      <c r="F459" s="2"/>
    </row>
    <row r="460" spans="3:6" ht="15.75" customHeight="1" x14ac:dyDescent="0.25">
      <c r="C460" s="2"/>
      <c r="F460" s="2"/>
    </row>
    <row r="461" spans="3:6" ht="15.75" customHeight="1" x14ac:dyDescent="0.25">
      <c r="C461" s="2"/>
      <c r="F461" s="2"/>
    </row>
    <row r="462" spans="3:6" ht="15.75" customHeight="1" x14ac:dyDescent="0.25">
      <c r="C462" s="2"/>
      <c r="F462" s="2"/>
    </row>
    <row r="463" spans="3:6" ht="15.75" customHeight="1" x14ac:dyDescent="0.25">
      <c r="C463" s="2"/>
      <c r="F463" s="2"/>
    </row>
    <row r="464" spans="3:6" ht="15.75" customHeight="1" x14ac:dyDescent="0.25">
      <c r="C464" s="2"/>
      <c r="F464" s="2"/>
    </row>
    <row r="465" spans="3:6" ht="15.75" customHeight="1" x14ac:dyDescent="0.25">
      <c r="C465" s="2"/>
      <c r="F465" s="2"/>
    </row>
    <row r="466" spans="3:6" ht="15.75" customHeight="1" x14ac:dyDescent="0.25">
      <c r="C466" s="2"/>
      <c r="F466" s="2"/>
    </row>
    <row r="467" spans="3:6" ht="15.75" customHeight="1" x14ac:dyDescent="0.25">
      <c r="C467" s="2"/>
      <c r="F467" s="2"/>
    </row>
    <row r="468" spans="3:6" ht="15.75" customHeight="1" x14ac:dyDescent="0.25">
      <c r="C468" s="2"/>
      <c r="F468" s="2"/>
    </row>
    <row r="469" spans="3:6" ht="15.75" customHeight="1" x14ac:dyDescent="0.25">
      <c r="C469" s="2"/>
      <c r="F469" s="2"/>
    </row>
    <row r="470" spans="3:6" ht="15.75" customHeight="1" x14ac:dyDescent="0.25">
      <c r="C470" s="2"/>
      <c r="F470" s="2"/>
    </row>
    <row r="471" spans="3:6" ht="15.75" customHeight="1" x14ac:dyDescent="0.25">
      <c r="C471" s="2"/>
      <c r="F471" s="2"/>
    </row>
    <row r="472" spans="3:6" ht="15.75" customHeight="1" x14ac:dyDescent="0.25">
      <c r="C472" s="2"/>
      <c r="F472" s="2"/>
    </row>
    <row r="473" spans="3:6" ht="15.75" customHeight="1" x14ac:dyDescent="0.25">
      <c r="C473" s="2"/>
      <c r="F473" s="2"/>
    </row>
    <row r="474" spans="3:6" ht="15.75" customHeight="1" x14ac:dyDescent="0.25">
      <c r="C474" s="2"/>
      <c r="F474" s="2"/>
    </row>
    <row r="475" spans="3:6" ht="15.75" customHeight="1" x14ac:dyDescent="0.25">
      <c r="C475" s="2"/>
      <c r="F475" s="2"/>
    </row>
    <row r="476" spans="3:6" ht="15.75" customHeight="1" x14ac:dyDescent="0.25">
      <c r="C476" s="2"/>
      <c r="F476" s="2"/>
    </row>
    <row r="477" spans="3:6" ht="15.75" customHeight="1" x14ac:dyDescent="0.25">
      <c r="C477" s="2"/>
      <c r="F477" s="2"/>
    </row>
    <row r="478" spans="3:6" ht="15.75" customHeight="1" x14ac:dyDescent="0.25">
      <c r="C478" s="2"/>
      <c r="F478" s="2"/>
    </row>
    <row r="479" spans="3:6" ht="15.75" customHeight="1" x14ac:dyDescent="0.25">
      <c r="C479" s="2"/>
      <c r="F479" s="2"/>
    </row>
    <row r="480" spans="3:6" ht="15.75" customHeight="1" x14ac:dyDescent="0.25">
      <c r="C480" s="2"/>
      <c r="F480" s="2"/>
    </row>
    <row r="481" spans="3:6" ht="15.75" customHeight="1" x14ac:dyDescent="0.25">
      <c r="C481" s="2"/>
      <c r="F481" s="2"/>
    </row>
    <row r="482" spans="3:6" ht="15.75" customHeight="1" x14ac:dyDescent="0.25">
      <c r="C482" s="2"/>
      <c r="F482" s="2"/>
    </row>
    <row r="483" spans="3:6" ht="15.75" customHeight="1" x14ac:dyDescent="0.25">
      <c r="C483" s="2"/>
      <c r="F483" s="2"/>
    </row>
    <row r="484" spans="3:6" ht="15.75" customHeight="1" x14ac:dyDescent="0.25">
      <c r="C484" s="2"/>
      <c r="F484" s="2"/>
    </row>
    <row r="485" spans="3:6" ht="15.75" customHeight="1" x14ac:dyDescent="0.25">
      <c r="C485" s="2"/>
      <c r="F485" s="2"/>
    </row>
    <row r="486" spans="3:6" ht="15.75" customHeight="1" x14ac:dyDescent="0.25">
      <c r="C486" s="2"/>
      <c r="F486" s="2"/>
    </row>
    <row r="487" spans="3:6" ht="15.75" customHeight="1" x14ac:dyDescent="0.25">
      <c r="C487" s="2"/>
      <c r="F487" s="2"/>
    </row>
    <row r="488" spans="3:6" ht="15.75" customHeight="1" x14ac:dyDescent="0.25">
      <c r="C488" s="2"/>
      <c r="F488" s="2"/>
    </row>
    <row r="489" spans="3:6" ht="15.75" customHeight="1" x14ac:dyDescent="0.25">
      <c r="C489" s="2"/>
      <c r="F489" s="2"/>
    </row>
    <row r="490" spans="3:6" ht="15.75" customHeight="1" x14ac:dyDescent="0.25">
      <c r="C490" s="2"/>
      <c r="F490" s="2"/>
    </row>
    <row r="491" spans="3:6" ht="15.75" customHeight="1" x14ac:dyDescent="0.25">
      <c r="C491" s="2"/>
      <c r="F491" s="2"/>
    </row>
    <row r="492" spans="3:6" ht="15.75" customHeight="1" x14ac:dyDescent="0.25">
      <c r="C492" s="2"/>
      <c r="F492" s="2"/>
    </row>
    <row r="493" spans="3:6" ht="15.75" customHeight="1" x14ac:dyDescent="0.25">
      <c r="C493" s="2"/>
      <c r="F493" s="2"/>
    </row>
    <row r="494" spans="3:6" ht="15.75" customHeight="1" x14ac:dyDescent="0.25">
      <c r="C494" s="2"/>
      <c r="F494" s="2"/>
    </row>
    <row r="495" spans="3:6" ht="15.75" customHeight="1" x14ac:dyDescent="0.25">
      <c r="C495" s="2"/>
      <c r="F495" s="2"/>
    </row>
    <row r="496" spans="3:6" ht="15.75" customHeight="1" x14ac:dyDescent="0.25">
      <c r="C496" s="2"/>
      <c r="F496" s="2"/>
    </row>
    <row r="497" spans="3:6" ht="15.75" customHeight="1" x14ac:dyDescent="0.25">
      <c r="C497" s="2"/>
      <c r="F497" s="2"/>
    </row>
    <row r="498" spans="3:6" ht="15.75" customHeight="1" x14ac:dyDescent="0.25">
      <c r="C498" s="2"/>
      <c r="F498" s="2"/>
    </row>
    <row r="499" spans="3:6" ht="15.75" customHeight="1" x14ac:dyDescent="0.25">
      <c r="C499" s="2"/>
      <c r="F499" s="2"/>
    </row>
    <row r="500" spans="3:6" ht="15.75" customHeight="1" x14ac:dyDescent="0.25">
      <c r="C500" s="2"/>
      <c r="F500" s="2"/>
    </row>
    <row r="501" spans="3:6" ht="15.75" customHeight="1" x14ac:dyDescent="0.25">
      <c r="C501" s="2"/>
      <c r="F501" s="2"/>
    </row>
    <row r="502" spans="3:6" ht="15.75" customHeight="1" x14ac:dyDescent="0.25">
      <c r="C502" s="2"/>
      <c r="F502" s="2"/>
    </row>
    <row r="503" spans="3:6" ht="15.75" customHeight="1" x14ac:dyDescent="0.25">
      <c r="C503" s="2"/>
      <c r="F503" s="2"/>
    </row>
    <row r="504" spans="3:6" ht="15.75" customHeight="1" x14ac:dyDescent="0.25">
      <c r="C504" s="2"/>
      <c r="F504" s="2"/>
    </row>
    <row r="505" spans="3:6" ht="15.75" customHeight="1" x14ac:dyDescent="0.25">
      <c r="C505" s="2"/>
      <c r="F505" s="2"/>
    </row>
    <row r="506" spans="3:6" ht="15.75" customHeight="1" x14ac:dyDescent="0.25">
      <c r="C506" s="2"/>
      <c r="F506" s="2"/>
    </row>
    <row r="507" spans="3:6" ht="15.75" customHeight="1" x14ac:dyDescent="0.25">
      <c r="C507" s="2"/>
      <c r="F507" s="2"/>
    </row>
    <row r="508" spans="3:6" ht="15.75" customHeight="1" x14ac:dyDescent="0.25">
      <c r="C508" s="2"/>
      <c r="F508" s="2"/>
    </row>
    <row r="509" spans="3:6" ht="15.75" customHeight="1" x14ac:dyDescent="0.25">
      <c r="C509" s="2"/>
      <c r="F509" s="2"/>
    </row>
    <row r="510" spans="3:6" ht="15.75" customHeight="1" x14ac:dyDescent="0.25">
      <c r="C510" s="2"/>
      <c r="F510" s="2"/>
    </row>
    <row r="511" spans="3:6" ht="15.75" customHeight="1" x14ac:dyDescent="0.25">
      <c r="C511" s="2"/>
      <c r="F511" s="2"/>
    </row>
    <row r="512" spans="3:6" ht="15.75" customHeight="1" x14ac:dyDescent="0.25">
      <c r="C512" s="2"/>
      <c r="F512" s="2"/>
    </row>
    <row r="513" spans="3:6" ht="15.75" customHeight="1" x14ac:dyDescent="0.25">
      <c r="C513" s="2"/>
      <c r="F513" s="2"/>
    </row>
    <row r="514" spans="3:6" ht="15.75" customHeight="1" x14ac:dyDescent="0.25">
      <c r="C514" s="2"/>
      <c r="F514" s="2"/>
    </row>
    <row r="515" spans="3:6" ht="15.75" customHeight="1" x14ac:dyDescent="0.25">
      <c r="C515" s="2"/>
      <c r="F515" s="2"/>
    </row>
    <row r="516" spans="3:6" ht="15.75" customHeight="1" x14ac:dyDescent="0.25">
      <c r="C516" s="2"/>
      <c r="F516" s="2"/>
    </row>
    <row r="517" spans="3:6" ht="15.75" customHeight="1" x14ac:dyDescent="0.25">
      <c r="C517" s="2"/>
      <c r="F517" s="2"/>
    </row>
    <row r="518" spans="3:6" ht="15.75" customHeight="1" x14ac:dyDescent="0.25">
      <c r="C518" s="2"/>
      <c r="F518" s="2"/>
    </row>
    <row r="519" spans="3:6" ht="15.75" customHeight="1" x14ac:dyDescent="0.25">
      <c r="C519" s="2"/>
      <c r="F519" s="2"/>
    </row>
    <row r="520" spans="3:6" ht="15.75" customHeight="1" x14ac:dyDescent="0.25">
      <c r="C520" s="2"/>
      <c r="F520" s="2"/>
    </row>
    <row r="521" spans="3:6" ht="15.75" customHeight="1" x14ac:dyDescent="0.25">
      <c r="C521" s="2"/>
      <c r="F521" s="2"/>
    </row>
    <row r="522" spans="3:6" ht="15.75" customHeight="1" x14ac:dyDescent="0.25">
      <c r="C522" s="2"/>
      <c r="F522" s="2"/>
    </row>
    <row r="523" spans="3:6" ht="15.75" customHeight="1" x14ac:dyDescent="0.25">
      <c r="C523" s="2"/>
      <c r="F523" s="2"/>
    </row>
    <row r="524" spans="3:6" ht="15.75" customHeight="1" x14ac:dyDescent="0.25">
      <c r="C524" s="2"/>
      <c r="F524" s="2"/>
    </row>
    <row r="525" spans="3:6" ht="15.75" customHeight="1" x14ac:dyDescent="0.25">
      <c r="C525" s="2"/>
      <c r="F525" s="2"/>
    </row>
    <row r="526" spans="3:6" ht="15.75" customHeight="1" x14ac:dyDescent="0.25">
      <c r="C526" s="2"/>
      <c r="F526" s="2"/>
    </row>
    <row r="527" spans="3:6" ht="15.75" customHeight="1" x14ac:dyDescent="0.25">
      <c r="C527" s="2"/>
      <c r="F527" s="2"/>
    </row>
    <row r="528" spans="3:6" ht="15.75" customHeight="1" x14ac:dyDescent="0.25">
      <c r="C528" s="2"/>
      <c r="F528" s="2"/>
    </row>
    <row r="529" spans="3:6" ht="15.75" customHeight="1" x14ac:dyDescent="0.25">
      <c r="C529" s="2"/>
      <c r="F529" s="2"/>
    </row>
    <row r="530" spans="3:6" ht="15.75" customHeight="1" x14ac:dyDescent="0.25">
      <c r="C530" s="2"/>
      <c r="F530" s="2"/>
    </row>
    <row r="531" spans="3:6" ht="15.75" customHeight="1" x14ac:dyDescent="0.25">
      <c r="C531" s="2"/>
      <c r="F531" s="2"/>
    </row>
    <row r="532" spans="3:6" ht="15.75" customHeight="1" x14ac:dyDescent="0.25">
      <c r="C532" s="2"/>
      <c r="F532" s="2"/>
    </row>
    <row r="533" spans="3:6" ht="15.75" customHeight="1" x14ac:dyDescent="0.25">
      <c r="C533" s="2"/>
      <c r="F533" s="2"/>
    </row>
    <row r="534" spans="3:6" ht="15.75" customHeight="1" x14ac:dyDescent="0.25">
      <c r="C534" s="2"/>
      <c r="F534" s="2"/>
    </row>
    <row r="535" spans="3:6" ht="15.75" customHeight="1" x14ac:dyDescent="0.25">
      <c r="C535" s="2"/>
      <c r="F535" s="2"/>
    </row>
    <row r="536" spans="3:6" ht="15.75" customHeight="1" x14ac:dyDescent="0.25">
      <c r="C536" s="2"/>
      <c r="F536" s="2"/>
    </row>
    <row r="537" spans="3:6" ht="15.75" customHeight="1" x14ac:dyDescent="0.25">
      <c r="C537" s="2"/>
      <c r="F537" s="2"/>
    </row>
    <row r="538" spans="3:6" ht="15.75" customHeight="1" x14ac:dyDescent="0.25">
      <c r="C538" s="2"/>
      <c r="F538" s="2"/>
    </row>
    <row r="539" spans="3:6" ht="15.75" customHeight="1" x14ac:dyDescent="0.25">
      <c r="C539" s="2"/>
      <c r="F539" s="2"/>
    </row>
    <row r="540" spans="3:6" ht="15.75" customHeight="1" x14ac:dyDescent="0.25">
      <c r="C540" s="2"/>
      <c r="F540" s="2"/>
    </row>
    <row r="541" spans="3:6" ht="15.75" customHeight="1" x14ac:dyDescent="0.25">
      <c r="C541" s="2"/>
      <c r="F541" s="2"/>
    </row>
    <row r="542" spans="3:6" ht="15.75" customHeight="1" x14ac:dyDescent="0.25">
      <c r="C542" s="2"/>
      <c r="F542" s="2"/>
    </row>
    <row r="543" spans="3:6" ht="15.75" customHeight="1" x14ac:dyDescent="0.25">
      <c r="C543" s="2"/>
      <c r="F543" s="2"/>
    </row>
    <row r="544" spans="3:6" ht="15.75" customHeight="1" x14ac:dyDescent="0.25">
      <c r="C544" s="2"/>
      <c r="F544" s="2"/>
    </row>
    <row r="545" spans="3:6" ht="15.75" customHeight="1" x14ac:dyDescent="0.25">
      <c r="C545" s="2"/>
      <c r="F545" s="2"/>
    </row>
    <row r="546" spans="3:6" ht="15.75" customHeight="1" x14ac:dyDescent="0.25">
      <c r="C546" s="2"/>
      <c r="F546" s="2"/>
    </row>
    <row r="547" spans="3:6" ht="15.75" customHeight="1" x14ac:dyDescent="0.25">
      <c r="C547" s="2"/>
      <c r="F547" s="2"/>
    </row>
    <row r="548" spans="3:6" ht="15.75" customHeight="1" x14ac:dyDescent="0.25">
      <c r="C548" s="2"/>
      <c r="F548" s="2"/>
    </row>
    <row r="549" spans="3:6" ht="15.75" customHeight="1" x14ac:dyDescent="0.25">
      <c r="C549" s="2"/>
      <c r="F549" s="2"/>
    </row>
    <row r="550" spans="3:6" ht="15.75" customHeight="1" x14ac:dyDescent="0.25">
      <c r="C550" s="2"/>
      <c r="F550" s="2"/>
    </row>
    <row r="551" spans="3:6" ht="15.75" customHeight="1" x14ac:dyDescent="0.25">
      <c r="C551" s="2"/>
      <c r="F551" s="2"/>
    </row>
    <row r="552" spans="3:6" ht="15.75" customHeight="1" x14ac:dyDescent="0.25">
      <c r="C552" s="2"/>
      <c r="F552" s="2"/>
    </row>
    <row r="553" spans="3:6" ht="15.75" customHeight="1" x14ac:dyDescent="0.25">
      <c r="C553" s="2"/>
      <c r="F553" s="2"/>
    </row>
    <row r="554" spans="3:6" ht="15.75" customHeight="1" x14ac:dyDescent="0.25">
      <c r="C554" s="2"/>
      <c r="F554" s="2"/>
    </row>
    <row r="555" spans="3:6" ht="15.75" customHeight="1" x14ac:dyDescent="0.25">
      <c r="C555" s="2"/>
      <c r="F555" s="2"/>
    </row>
    <row r="556" spans="3:6" ht="15.75" customHeight="1" x14ac:dyDescent="0.25">
      <c r="C556" s="2"/>
      <c r="F556" s="2"/>
    </row>
    <row r="557" spans="3:6" ht="15.75" customHeight="1" x14ac:dyDescent="0.25">
      <c r="C557" s="2"/>
      <c r="F557" s="2"/>
    </row>
    <row r="558" spans="3:6" ht="15.75" customHeight="1" x14ac:dyDescent="0.25">
      <c r="C558" s="2"/>
      <c r="F558" s="2"/>
    </row>
    <row r="559" spans="3:6" ht="15.75" customHeight="1" x14ac:dyDescent="0.25">
      <c r="C559" s="2"/>
      <c r="F559" s="2"/>
    </row>
    <row r="560" spans="3:6" ht="15.75" customHeight="1" x14ac:dyDescent="0.25">
      <c r="C560" s="2"/>
      <c r="F560" s="2"/>
    </row>
    <row r="561" spans="3:6" ht="15.75" customHeight="1" x14ac:dyDescent="0.25">
      <c r="C561" s="2"/>
      <c r="F561" s="2"/>
    </row>
    <row r="562" spans="3:6" ht="15.75" customHeight="1" x14ac:dyDescent="0.25">
      <c r="C562" s="2"/>
      <c r="F562" s="2"/>
    </row>
    <row r="563" spans="3:6" ht="15.75" customHeight="1" x14ac:dyDescent="0.25">
      <c r="C563" s="2"/>
      <c r="F563" s="2"/>
    </row>
    <row r="564" spans="3:6" ht="15.75" customHeight="1" x14ac:dyDescent="0.25">
      <c r="C564" s="2"/>
      <c r="F564" s="2"/>
    </row>
    <row r="565" spans="3:6" ht="15.75" customHeight="1" x14ac:dyDescent="0.25">
      <c r="C565" s="2"/>
      <c r="F565" s="2"/>
    </row>
    <row r="566" spans="3:6" ht="15.75" customHeight="1" x14ac:dyDescent="0.25">
      <c r="C566" s="2"/>
      <c r="F566" s="2"/>
    </row>
    <row r="567" spans="3:6" ht="15.75" customHeight="1" x14ac:dyDescent="0.25">
      <c r="C567" s="2"/>
      <c r="F567" s="2"/>
    </row>
    <row r="568" spans="3:6" ht="15.75" customHeight="1" x14ac:dyDescent="0.25">
      <c r="C568" s="2"/>
      <c r="F568" s="2"/>
    </row>
    <row r="569" spans="3:6" ht="15.75" customHeight="1" x14ac:dyDescent="0.25">
      <c r="C569" s="2"/>
      <c r="F569" s="2"/>
    </row>
    <row r="570" spans="3:6" ht="15.75" customHeight="1" x14ac:dyDescent="0.25">
      <c r="C570" s="2"/>
      <c r="F570" s="2"/>
    </row>
    <row r="571" spans="3:6" ht="15.75" customHeight="1" x14ac:dyDescent="0.25">
      <c r="C571" s="2"/>
      <c r="F571" s="2"/>
    </row>
    <row r="572" spans="3:6" ht="15.75" customHeight="1" x14ac:dyDescent="0.25">
      <c r="C572" s="2"/>
      <c r="F572" s="2"/>
    </row>
    <row r="573" spans="3:6" ht="15.75" customHeight="1" x14ac:dyDescent="0.25">
      <c r="C573" s="2"/>
      <c r="F573" s="2"/>
    </row>
    <row r="574" spans="3:6" ht="15.75" customHeight="1" x14ac:dyDescent="0.25">
      <c r="C574" s="2"/>
      <c r="F574" s="2"/>
    </row>
    <row r="575" spans="3:6" ht="15.75" customHeight="1" x14ac:dyDescent="0.25">
      <c r="C575" s="2"/>
      <c r="F575" s="2"/>
    </row>
    <row r="576" spans="3:6" ht="15.75" customHeight="1" x14ac:dyDescent="0.25">
      <c r="C576" s="2"/>
      <c r="F576" s="2"/>
    </row>
    <row r="577" spans="3:6" ht="15.75" customHeight="1" x14ac:dyDescent="0.25">
      <c r="C577" s="2"/>
      <c r="F577" s="2"/>
    </row>
    <row r="578" spans="3:6" ht="15.75" customHeight="1" x14ac:dyDescent="0.25">
      <c r="C578" s="2"/>
      <c r="F578" s="2"/>
    </row>
    <row r="579" spans="3:6" ht="15.75" customHeight="1" x14ac:dyDescent="0.25">
      <c r="C579" s="2"/>
      <c r="F579" s="2"/>
    </row>
    <row r="580" spans="3:6" ht="15.75" customHeight="1" x14ac:dyDescent="0.25">
      <c r="C580" s="2"/>
      <c r="F580" s="2"/>
    </row>
    <row r="581" spans="3:6" ht="15.75" customHeight="1" x14ac:dyDescent="0.25">
      <c r="C581" s="2"/>
      <c r="F581" s="2"/>
    </row>
    <row r="582" spans="3:6" ht="15.75" customHeight="1" x14ac:dyDescent="0.25">
      <c r="C582" s="2"/>
      <c r="F582" s="2"/>
    </row>
    <row r="583" spans="3:6" ht="15.75" customHeight="1" x14ac:dyDescent="0.25">
      <c r="C583" s="2"/>
      <c r="F583" s="2"/>
    </row>
    <row r="584" spans="3:6" ht="15.75" customHeight="1" x14ac:dyDescent="0.25">
      <c r="C584" s="2"/>
      <c r="F584" s="2"/>
    </row>
    <row r="585" spans="3:6" ht="15.75" customHeight="1" x14ac:dyDescent="0.25">
      <c r="C585" s="2"/>
      <c r="F585" s="2"/>
    </row>
    <row r="586" spans="3:6" ht="15.75" customHeight="1" x14ac:dyDescent="0.25">
      <c r="C586" s="2"/>
      <c r="F586" s="2"/>
    </row>
    <row r="587" spans="3:6" ht="15.75" customHeight="1" x14ac:dyDescent="0.25">
      <c r="C587" s="2"/>
      <c r="F587" s="2"/>
    </row>
    <row r="588" spans="3:6" ht="15.75" customHeight="1" x14ac:dyDescent="0.25">
      <c r="C588" s="2"/>
      <c r="F588" s="2"/>
    </row>
    <row r="589" spans="3:6" ht="15.75" customHeight="1" x14ac:dyDescent="0.25">
      <c r="C589" s="2"/>
      <c r="F589" s="2"/>
    </row>
    <row r="590" spans="3:6" ht="15.75" customHeight="1" x14ac:dyDescent="0.25">
      <c r="C590" s="2"/>
      <c r="F590" s="2"/>
    </row>
    <row r="591" spans="3:6" ht="15.75" customHeight="1" x14ac:dyDescent="0.25">
      <c r="C591" s="2"/>
      <c r="F591" s="2"/>
    </row>
    <row r="592" spans="3:6" ht="15.75" customHeight="1" x14ac:dyDescent="0.25">
      <c r="C592" s="2"/>
      <c r="F592" s="2"/>
    </row>
    <row r="593" spans="3:6" ht="15.75" customHeight="1" x14ac:dyDescent="0.25">
      <c r="C593" s="2"/>
      <c r="F593" s="2"/>
    </row>
    <row r="594" spans="3:6" ht="15.75" customHeight="1" x14ac:dyDescent="0.25">
      <c r="C594" s="2"/>
      <c r="F594" s="2"/>
    </row>
    <row r="595" spans="3:6" ht="15.75" customHeight="1" x14ac:dyDescent="0.25">
      <c r="C595" s="2"/>
      <c r="F595" s="2"/>
    </row>
    <row r="596" spans="3:6" ht="15.75" customHeight="1" x14ac:dyDescent="0.25">
      <c r="C596" s="2"/>
      <c r="F596" s="2"/>
    </row>
    <row r="597" spans="3:6" ht="15.75" customHeight="1" x14ac:dyDescent="0.25">
      <c r="C597" s="2"/>
      <c r="F597" s="2"/>
    </row>
    <row r="598" spans="3:6" ht="15.75" customHeight="1" x14ac:dyDescent="0.25">
      <c r="C598" s="2"/>
      <c r="F598" s="2"/>
    </row>
    <row r="599" spans="3:6" ht="15.75" customHeight="1" x14ac:dyDescent="0.25">
      <c r="C599" s="2"/>
      <c r="F599" s="2"/>
    </row>
    <row r="600" spans="3:6" ht="15.75" customHeight="1" x14ac:dyDescent="0.25">
      <c r="C600" s="2"/>
      <c r="F600" s="2"/>
    </row>
    <row r="601" spans="3:6" ht="15.75" customHeight="1" x14ac:dyDescent="0.25">
      <c r="C601" s="2"/>
      <c r="F601" s="2"/>
    </row>
    <row r="602" spans="3:6" ht="15.75" customHeight="1" x14ac:dyDescent="0.25">
      <c r="C602" s="2"/>
      <c r="F602" s="2"/>
    </row>
    <row r="603" spans="3:6" ht="15.75" customHeight="1" x14ac:dyDescent="0.25">
      <c r="C603" s="2"/>
      <c r="F603" s="2"/>
    </row>
    <row r="604" spans="3:6" ht="15.75" customHeight="1" x14ac:dyDescent="0.25">
      <c r="C604" s="2"/>
      <c r="F604" s="2"/>
    </row>
    <row r="605" spans="3:6" ht="15.75" customHeight="1" x14ac:dyDescent="0.25">
      <c r="C605" s="2"/>
      <c r="F605" s="2"/>
    </row>
    <row r="606" spans="3:6" ht="15.75" customHeight="1" x14ac:dyDescent="0.25">
      <c r="C606" s="2"/>
      <c r="F606" s="2"/>
    </row>
    <row r="607" spans="3:6" ht="15.75" customHeight="1" x14ac:dyDescent="0.25">
      <c r="C607" s="2"/>
      <c r="F607" s="2"/>
    </row>
    <row r="608" spans="3:6" ht="15.75" customHeight="1" x14ac:dyDescent="0.25">
      <c r="C608" s="2"/>
      <c r="F608" s="2"/>
    </row>
    <row r="609" spans="3:6" ht="15.75" customHeight="1" x14ac:dyDescent="0.25">
      <c r="C609" s="2"/>
      <c r="F609" s="2"/>
    </row>
    <row r="610" spans="3:6" ht="15.75" customHeight="1" x14ac:dyDescent="0.25">
      <c r="C610" s="2"/>
      <c r="F610" s="2"/>
    </row>
    <row r="611" spans="3:6" ht="15.75" customHeight="1" x14ac:dyDescent="0.25">
      <c r="C611" s="2"/>
      <c r="F611" s="2"/>
    </row>
    <row r="612" spans="3:6" ht="15.75" customHeight="1" x14ac:dyDescent="0.25">
      <c r="C612" s="2"/>
      <c r="F612" s="2"/>
    </row>
    <row r="613" spans="3:6" ht="15.75" customHeight="1" x14ac:dyDescent="0.25">
      <c r="C613" s="2"/>
      <c r="F613" s="2"/>
    </row>
    <row r="614" spans="3:6" ht="15.75" customHeight="1" x14ac:dyDescent="0.25">
      <c r="C614" s="2"/>
      <c r="F614" s="2"/>
    </row>
    <row r="615" spans="3:6" ht="15.75" customHeight="1" x14ac:dyDescent="0.25">
      <c r="C615" s="2"/>
      <c r="F615" s="2"/>
    </row>
    <row r="616" spans="3:6" ht="15.75" customHeight="1" x14ac:dyDescent="0.25">
      <c r="C616" s="2"/>
      <c r="F616" s="2"/>
    </row>
    <row r="617" spans="3:6" ht="15.75" customHeight="1" x14ac:dyDescent="0.25">
      <c r="C617" s="2"/>
      <c r="F617" s="2"/>
    </row>
    <row r="618" spans="3:6" ht="15.75" customHeight="1" x14ac:dyDescent="0.25">
      <c r="C618" s="2"/>
      <c r="F618" s="2"/>
    </row>
    <row r="619" spans="3:6" ht="15.75" customHeight="1" x14ac:dyDescent="0.25">
      <c r="C619" s="2"/>
      <c r="F619" s="2"/>
    </row>
    <row r="620" spans="3:6" ht="15.75" customHeight="1" x14ac:dyDescent="0.25">
      <c r="C620" s="2"/>
      <c r="F620" s="2"/>
    </row>
    <row r="621" spans="3:6" ht="15.75" customHeight="1" x14ac:dyDescent="0.25">
      <c r="C621" s="2"/>
      <c r="F621" s="2"/>
    </row>
    <row r="622" spans="3:6" ht="15.75" customHeight="1" x14ac:dyDescent="0.25">
      <c r="C622" s="2"/>
      <c r="F622" s="2"/>
    </row>
    <row r="623" spans="3:6" ht="15.75" customHeight="1" x14ac:dyDescent="0.25">
      <c r="C623" s="2"/>
      <c r="F623" s="2"/>
    </row>
    <row r="624" spans="3:6" ht="15.75" customHeight="1" x14ac:dyDescent="0.25">
      <c r="C624" s="2"/>
      <c r="F624" s="2"/>
    </row>
    <row r="625" spans="3:6" ht="15.75" customHeight="1" x14ac:dyDescent="0.25">
      <c r="C625" s="2"/>
      <c r="F625" s="2"/>
    </row>
    <row r="626" spans="3:6" ht="15.75" customHeight="1" x14ac:dyDescent="0.25">
      <c r="C626" s="2"/>
      <c r="F626" s="2"/>
    </row>
    <row r="627" spans="3:6" ht="15.75" customHeight="1" x14ac:dyDescent="0.25">
      <c r="C627" s="2"/>
      <c r="F627" s="2"/>
    </row>
    <row r="628" spans="3:6" ht="15.75" customHeight="1" x14ac:dyDescent="0.25">
      <c r="C628" s="2"/>
      <c r="F628" s="2"/>
    </row>
    <row r="629" spans="3:6" ht="15.75" customHeight="1" x14ac:dyDescent="0.25">
      <c r="C629" s="2"/>
      <c r="F629" s="2"/>
    </row>
    <row r="630" spans="3:6" ht="15.75" customHeight="1" x14ac:dyDescent="0.25">
      <c r="C630" s="2"/>
      <c r="F630" s="2"/>
    </row>
    <row r="631" spans="3:6" ht="15.75" customHeight="1" x14ac:dyDescent="0.25">
      <c r="C631" s="2"/>
      <c r="F631" s="2"/>
    </row>
    <row r="632" spans="3:6" ht="15.75" customHeight="1" x14ac:dyDescent="0.25">
      <c r="C632" s="2"/>
      <c r="F632" s="2"/>
    </row>
    <row r="633" spans="3:6" ht="15.75" customHeight="1" x14ac:dyDescent="0.25">
      <c r="C633" s="2"/>
      <c r="F633" s="2"/>
    </row>
    <row r="634" spans="3:6" ht="15.75" customHeight="1" x14ac:dyDescent="0.25">
      <c r="C634" s="2"/>
      <c r="F634" s="2"/>
    </row>
    <row r="635" spans="3:6" ht="15.75" customHeight="1" x14ac:dyDescent="0.25">
      <c r="C635" s="2"/>
      <c r="F635" s="2"/>
    </row>
    <row r="636" spans="3:6" ht="15.75" customHeight="1" x14ac:dyDescent="0.25">
      <c r="C636" s="2"/>
      <c r="F636" s="2"/>
    </row>
    <row r="637" spans="3:6" ht="15.75" customHeight="1" x14ac:dyDescent="0.25">
      <c r="C637" s="2"/>
      <c r="F637" s="2"/>
    </row>
    <row r="638" spans="3:6" ht="15.75" customHeight="1" x14ac:dyDescent="0.25">
      <c r="C638" s="2"/>
      <c r="F638" s="2"/>
    </row>
    <row r="639" spans="3:6" ht="15.75" customHeight="1" x14ac:dyDescent="0.25">
      <c r="C639" s="2"/>
      <c r="F639" s="2"/>
    </row>
    <row r="640" spans="3:6" ht="15.75" customHeight="1" x14ac:dyDescent="0.25">
      <c r="C640" s="2"/>
      <c r="F640" s="2"/>
    </row>
    <row r="641" spans="3:6" ht="15.75" customHeight="1" x14ac:dyDescent="0.25">
      <c r="C641" s="2"/>
      <c r="F641" s="2"/>
    </row>
    <row r="642" spans="3:6" ht="15.75" customHeight="1" x14ac:dyDescent="0.25">
      <c r="C642" s="2"/>
      <c r="F642" s="2"/>
    </row>
    <row r="643" spans="3:6" ht="15.75" customHeight="1" x14ac:dyDescent="0.25">
      <c r="C643" s="2"/>
      <c r="F643" s="2"/>
    </row>
    <row r="644" spans="3:6" ht="15.75" customHeight="1" x14ac:dyDescent="0.25">
      <c r="C644" s="2"/>
      <c r="F644" s="2"/>
    </row>
    <row r="645" spans="3:6" ht="15.75" customHeight="1" x14ac:dyDescent="0.25">
      <c r="C645" s="2"/>
      <c r="F645" s="2"/>
    </row>
    <row r="646" spans="3:6" ht="15.75" customHeight="1" x14ac:dyDescent="0.25">
      <c r="C646" s="2"/>
      <c r="F646" s="2"/>
    </row>
    <row r="647" spans="3:6" ht="15.75" customHeight="1" x14ac:dyDescent="0.25">
      <c r="C647" s="2"/>
      <c r="F647" s="2"/>
    </row>
    <row r="648" spans="3:6" ht="15.75" customHeight="1" x14ac:dyDescent="0.25">
      <c r="C648" s="2"/>
      <c r="F648" s="2"/>
    </row>
    <row r="649" spans="3:6" ht="15.75" customHeight="1" x14ac:dyDescent="0.25">
      <c r="C649" s="2"/>
      <c r="F649" s="2"/>
    </row>
    <row r="650" spans="3:6" ht="15.75" customHeight="1" x14ac:dyDescent="0.25">
      <c r="C650" s="2"/>
      <c r="F650" s="2"/>
    </row>
    <row r="651" spans="3:6" ht="15.75" customHeight="1" x14ac:dyDescent="0.25">
      <c r="C651" s="2"/>
      <c r="F651" s="2"/>
    </row>
    <row r="652" spans="3:6" ht="15.75" customHeight="1" x14ac:dyDescent="0.25">
      <c r="C652" s="2"/>
      <c r="F652" s="2"/>
    </row>
    <row r="653" spans="3:6" ht="15.75" customHeight="1" x14ac:dyDescent="0.25">
      <c r="C653" s="2"/>
      <c r="F653" s="2"/>
    </row>
    <row r="654" spans="3:6" ht="15.75" customHeight="1" x14ac:dyDescent="0.25">
      <c r="C654" s="2"/>
      <c r="F654" s="2"/>
    </row>
    <row r="655" spans="3:6" ht="15.75" customHeight="1" x14ac:dyDescent="0.25">
      <c r="C655" s="2"/>
      <c r="F655" s="2"/>
    </row>
    <row r="656" spans="3:6" ht="15.75" customHeight="1" x14ac:dyDescent="0.25">
      <c r="C656" s="2"/>
      <c r="F656" s="2"/>
    </row>
    <row r="657" spans="3:6" ht="15.75" customHeight="1" x14ac:dyDescent="0.25">
      <c r="C657" s="2"/>
      <c r="F657" s="2"/>
    </row>
    <row r="658" spans="3:6" ht="15.75" customHeight="1" x14ac:dyDescent="0.25">
      <c r="C658" s="2"/>
      <c r="F658" s="2"/>
    </row>
    <row r="659" spans="3:6" ht="15.75" customHeight="1" x14ac:dyDescent="0.25">
      <c r="C659" s="2"/>
      <c r="F659" s="2"/>
    </row>
    <row r="660" spans="3:6" ht="15.75" customHeight="1" x14ac:dyDescent="0.25">
      <c r="C660" s="2"/>
      <c r="F660" s="2"/>
    </row>
    <row r="661" spans="3:6" ht="15.75" customHeight="1" x14ac:dyDescent="0.25">
      <c r="C661" s="2"/>
      <c r="F661" s="2"/>
    </row>
    <row r="662" spans="3:6" ht="15.75" customHeight="1" x14ac:dyDescent="0.25">
      <c r="C662" s="2"/>
      <c r="F662" s="2"/>
    </row>
    <row r="663" spans="3:6" ht="15.75" customHeight="1" x14ac:dyDescent="0.25">
      <c r="C663" s="2"/>
      <c r="F663" s="2"/>
    </row>
    <row r="664" spans="3:6" ht="15.75" customHeight="1" x14ac:dyDescent="0.25">
      <c r="C664" s="2"/>
      <c r="F664" s="2"/>
    </row>
    <row r="665" spans="3:6" ht="15.75" customHeight="1" x14ac:dyDescent="0.25">
      <c r="C665" s="2"/>
      <c r="F665" s="2"/>
    </row>
    <row r="666" spans="3:6" ht="15.75" customHeight="1" x14ac:dyDescent="0.25">
      <c r="C666" s="2"/>
      <c r="F666" s="2"/>
    </row>
    <row r="667" spans="3:6" ht="15.75" customHeight="1" x14ac:dyDescent="0.25">
      <c r="C667" s="2"/>
      <c r="F667" s="2"/>
    </row>
    <row r="668" spans="3:6" ht="15.75" customHeight="1" x14ac:dyDescent="0.25">
      <c r="C668" s="2"/>
      <c r="F668" s="2"/>
    </row>
    <row r="669" spans="3:6" ht="15.75" customHeight="1" x14ac:dyDescent="0.25">
      <c r="C669" s="2"/>
      <c r="F669" s="2"/>
    </row>
    <row r="670" spans="3:6" ht="15.75" customHeight="1" x14ac:dyDescent="0.25">
      <c r="C670" s="2"/>
      <c r="F670" s="2"/>
    </row>
    <row r="671" spans="3:6" ht="15.75" customHeight="1" x14ac:dyDescent="0.25">
      <c r="C671" s="2"/>
      <c r="F671" s="2"/>
    </row>
    <row r="672" spans="3:6" ht="15.75" customHeight="1" x14ac:dyDescent="0.25">
      <c r="C672" s="2"/>
      <c r="F672" s="2"/>
    </row>
    <row r="673" spans="3:6" ht="15.75" customHeight="1" x14ac:dyDescent="0.25">
      <c r="C673" s="2"/>
      <c r="F673" s="2"/>
    </row>
    <row r="674" spans="3:6" ht="15.75" customHeight="1" x14ac:dyDescent="0.25">
      <c r="C674" s="2"/>
      <c r="F674" s="2"/>
    </row>
    <row r="675" spans="3:6" ht="15.75" customHeight="1" x14ac:dyDescent="0.25">
      <c r="C675" s="2"/>
      <c r="F675" s="2"/>
    </row>
    <row r="676" spans="3:6" ht="15.75" customHeight="1" x14ac:dyDescent="0.25">
      <c r="C676" s="2"/>
      <c r="F676" s="2"/>
    </row>
    <row r="677" spans="3:6" ht="15.75" customHeight="1" x14ac:dyDescent="0.25">
      <c r="C677" s="2"/>
      <c r="F677" s="2"/>
    </row>
    <row r="678" spans="3:6" ht="15.75" customHeight="1" x14ac:dyDescent="0.25">
      <c r="C678" s="2"/>
      <c r="F678" s="2"/>
    </row>
    <row r="679" spans="3:6" ht="15.75" customHeight="1" x14ac:dyDescent="0.25">
      <c r="C679" s="2"/>
      <c r="F679" s="2"/>
    </row>
    <row r="680" spans="3:6" ht="15.75" customHeight="1" x14ac:dyDescent="0.25">
      <c r="C680" s="2"/>
      <c r="F680" s="2"/>
    </row>
    <row r="681" spans="3:6" ht="15.75" customHeight="1" x14ac:dyDescent="0.25">
      <c r="C681" s="2"/>
      <c r="F681" s="2"/>
    </row>
    <row r="682" spans="3:6" ht="15.75" customHeight="1" x14ac:dyDescent="0.25">
      <c r="C682" s="2"/>
      <c r="F682" s="2"/>
    </row>
    <row r="683" spans="3:6" ht="15.75" customHeight="1" x14ac:dyDescent="0.25">
      <c r="C683" s="2"/>
      <c r="F683" s="2"/>
    </row>
    <row r="684" spans="3:6" ht="15.75" customHeight="1" x14ac:dyDescent="0.25">
      <c r="C684" s="2"/>
      <c r="F684" s="2"/>
    </row>
    <row r="685" spans="3:6" ht="15.75" customHeight="1" x14ac:dyDescent="0.25">
      <c r="C685" s="2"/>
      <c r="F685" s="2"/>
    </row>
    <row r="686" spans="3:6" ht="15.75" customHeight="1" x14ac:dyDescent="0.25">
      <c r="C686" s="2"/>
      <c r="F686" s="2"/>
    </row>
    <row r="687" spans="3:6" ht="15.75" customHeight="1" x14ac:dyDescent="0.25">
      <c r="C687" s="2"/>
      <c r="F687" s="2"/>
    </row>
    <row r="688" spans="3:6" ht="15.75" customHeight="1" x14ac:dyDescent="0.25">
      <c r="C688" s="2"/>
      <c r="F688" s="2"/>
    </row>
    <row r="689" spans="3:6" ht="15.75" customHeight="1" x14ac:dyDescent="0.25">
      <c r="C689" s="2"/>
      <c r="F689" s="2"/>
    </row>
    <row r="690" spans="3:6" ht="15.75" customHeight="1" x14ac:dyDescent="0.25">
      <c r="C690" s="2"/>
      <c r="F690" s="2"/>
    </row>
    <row r="691" spans="3:6" ht="15.75" customHeight="1" x14ac:dyDescent="0.25">
      <c r="C691" s="2"/>
      <c r="F691" s="2"/>
    </row>
    <row r="692" spans="3:6" ht="15.75" customHeight="1" x14ac:dyDescent="0.25">
      <c r="C692" s="2"/>
      <c r="F692" s="2"/>
    </row>
    <row r="693" spans="3:6" ht="15.75" customHeight="1" x14ac:dyDescent="0.25">
      <c r="C693" s="2"/>
      <c r="F693" s="2"/>
    </row>
    <row r="694" spans="3:6" ht="15.75" customHeight="1" x14ac:dyDescent="0.25">
      <c r="C694" s="2"/>
      <c r="F694" s="2"/>
    </row>
    <row r="695" spans="3:6" ht="15.75" customHeight="1" x14ac:dyDescent="0.25">
      <c r="C695" s="2"/>
      <c r="F695" s="2"/>
    </row>
    <row r="696" spans="3:6" ht="15.75" customHeight="1" x14ac:dyDescent="0.25">
      <c r="C696" s="2"/>
      <c r="F696" s="2"/>
    </row>
    <row r="697" spans="3:6" ht="15.75" customHeight="1" x14ac:dyDescent="0.25">
      <c r="C697" s="2"/>
      <c r="F697" s="2"/>
    </row>
    <row r="698" spans="3:6" ht="15.75" customHeight="1" x14ac:dyDescent="0.25">
      <c r="C698" s="2"/>
      <c r="F698" s="2"/>
    </row>
    <row r="699" spans="3:6" ht="15.75" customHeight="1" x14ac:dyDescent="0.25">
      <c r="C699" s="2"/>
      <c r="F699" s="2"/>
    </row>
    <row r="700" spans="3:6" ht="15.75" customHeight="1" x14ac:dyDescent="0.25">
      <c r="C700" s="2"/>
      <c r="F700" s="2"/>
    </row>
    <row r="701" spans="3:6" ht="15.75" customHeight="1" x14ac:dyDescent="0.25">
      <c r="C701" s="2"/>
      <c r="F701" s="2"/>
    </row>
    <row r="702" spans="3:6" ht="15.75" customHeight="1" x14ac:dyDescent="0.25">
      <c r="C702" s="2"/>
      <c r="F702" s="2"/>
    </row>
    <row r="703" spans="3:6" ht="15.75" customHeight="1" x14ac:dyDescent="0.25">
      <c r="C703" s="2"/>
      <c r="F703" s="2"/>
    </row>
    <row r="704" spans="3:6" ht="15.75" customHeight="1" x14ac:dyDescent="0.25">
      <c r="C704" s="2"/>
      <c r="F704" s="2"/>
    </row>
    <row r="705" spans="3:6" ht="15.75" customHeight="1" x14ac:dyDescent="0.25">
      <c r="C705" s="2"/>
      <c r="F705" s="2"/>
    </row>
    <row r="706" spans="3:6" ht="15.75" customHeight="1" x14ac:dyDescent="0.25">
      <c r="C706" s="2"/>
      <c r="F706" s="2"/>
    </row>
    <row r="707" spans="3:6" ht="15.75" customHeight="1" x14ac:dyDescent="0.25">
      <c r="C707" s="2"/>
      <c r="F707" s="2"/>
    </row>
    <row r="708" spans="3:6" ht="15.75" customHeight="1" x14ac:dyDescent="0.25">
      <c r="C708" s="2"/>
      <c r="F708" s="2"/>
    </row>
    <row r="709" spans="3:6" ht="15.75" customHeight="1" x14ac:dyDescent="0.25">
      <c r="C709" s="2"/>
      <c r="F709" s="2"/>
    </row>
    <row r="710" spans="3:6" ht="15.75" customHeight="1" x14ac:dyDescent="0.25">
      <c r="C710" s="2"/>
      <c r="F710" s="2"/>
    </row>
    <row r="711" spans="3:6" ht="15.75" customHeight="1" x14ac:dyDescent="0.25">
      <c r="C711" s="2"/>
      <c r="F711" s="2"/>
    </row>
    <row r="712" spans="3:6" ht="15.75" customHeight="1" x14ac:dyDescent="0.25">
      <c r="C712" s="2"/>
      <c r="F712" s="2"/>
    </row>
    <row r="713" spans="3:6" ht="15.75" customHeight="1" x14ac:dyDescent="0.25">
      <c r="C713" s="2"/>
      <c r="F713" s="2"/>
    </row>
    <row r="714" spans="3:6" ht="15.75" customHeight="1" x14ac:dyDescent="0.25">
      <c r="C714" s="2"/>
      <c r="F714" s="2"/>
    </row>
    <row r="715" spans="3:6" ht="15.75" customHeight="1" x14ac:dyDescent="0.25">
      <c r="C715" s="2"/>
      <c r="F715" s="2"/>
    </row>
    <row r="716" spans="3:6" ht="15.75" customHeight="1" x14ac:dyDescent="0.25">
      <c r="C716" s="2"/>
      <c r="F716" s="2"/>
    </row>
    <row r="717" spans="3:6" ht="15.75" customHeight="1" x14ac:dyDescent="0.25">
      <c r="C717" s="2"/>
      <c r="F717" s="2"/>
    </row>
    <row r="718" spans="3:6" ht="15.75" customHeight="1" x14ac:dyDescent="0.25">
      <c r="C718" s="2"/>
      <c r="F718" s="2"/>
    </row>
    <row r="719" spans="3:6" ht="15.75" customHeight="1" x14ac:dyDescent="0.25">
      <c r="C719" s="2"/>
      <c r="F719" s="2"/>
    </row>
    <row r="720" spans="3:6" ht="15.75" customHeight="1" x14ac:dyDescent="0.25">
      <c r="C720" s="2"/>
      <c r="F720" s="2"/>
    </row>
    <row r="721" spans="3:6" ht="15.75" customHeight="1" x14ac:dyDescent="0.25">
      <c r="C721" s="2"/>
      <c r="F721" s="2"/>
    </row>
    <row r="722" spans="3:6" ht="15.75" customHeight="1" x14ac:dyDescent="0.25">
      <c r="C722" s="2"/>
      <c r="F722" s="2"/>
    </row>
    <row r="723" spans="3:6" ht="15.75" customHeight="1" x14ac:dyDescent="0.25">
      <c r="C723" s="2"/>
      <c r="F723" s="2"/>
    </row>
    <row r="724" spans="3:6" ht="15.75" customHeight="1" x14ac:dyDescent="0.25">
      <c r="C724" s="2"/>
      <c r="F724" s="2"/>
    </row>
    <row r="725" spans="3:6" ht="15.75" customHeight="1" x14ac:dyDescent="0.25">
      <c r="C725" s="2"/>
      <c r="F725" s="2"/>
    </row>
    <row r="726" spans="3:6" ht="15.75" customHeight="1" x14ac:dyDescent="0.25">
      <c r="C726" s="2"/>
      <c r="F726" s="2"/>
    </row>
    <row r="727" spans="3:6" ht="15.75" customHeight="1" x14ac:dyDescent="0.25">
      <c r="C727" s="2"/>
      <c r="F727" s="2"/>
    </row>
    <row r="728" spans="3:6" ht="15.75" customHeight="1" x14ac:dyDescent="0.25">
      <c r="C728" s="2"/>
      <c r="F728" s="2"/>
    </row>
    <row r="729" spans="3:6" ht="15.75" customHeight="1" x14ac:dyDescent="0.25">
      <c r="C729" s="2"/>
      <c r="F729" s="2"/>
    </row>
    <row r="730" spans="3:6" ht="15.75" customHeight="1" x14ac:dyDescent="0.25">
      <c r="C730" s="2"/>
      <c r="F730" s="2"/>
    </row>
    <row r="731" spans="3:6" ht="15.75" customHeight="1" x14ac:dyDescent="0.25">
      <c r="C731" s="2"/>
      <c r="F731" s="2"/>
    </row>
    <row r="732" spans="3:6" ht="15.75" customHeight="1" x14ac:dyDescent="0.25">
      <c r="C732" s="2"/>
      <c r="F732" s="2"/>
    </row>
    <row r="733" spans="3:6" ht="15.75" customHeight="1" x14ac:dyDescent="0.25">
      <c r="C733" s="2"/>
      <c r="F733" s="2"/>
    </row>
    <row r="734" spans="3:6" ht="15.75" customHeight="1" x14ac:dyDescent="0.25">
      <c r="C734" s="2"/>
      <c r="F734" s="2"/>
    </row>
    <row r="735" spans="3:6" ht="15.75" customHeight="1" x14ac:dyDescent="0.25">
      <c r="C735" s="2"/>
      <c r="F735" s="2"/>
    </row>
    <row r="736" spans="3:6" ht="15.75" customHeight="1" x14ac:dyDescent="0.25">
      <c r="C736" s="2"/>
      <c r="F736" s="2"/>
    </row>
    <row r="737" spans="3:6" ht="15.75" customHeight="1" x14ac:dyDescent="0.25">
      <c r="C737" s="2"/>
      <c r="F737" s="2"/>
    </row>
    <row r="738" spans="3:6" ht="15.75" customHeight="1" x14ac:dyDescent="0.25">
      <c r="C738" s="2"/>
      <c r="F738" s="2"/>
    </row>
    <row r="739" spans="3:6" ht="15.75" customHeight="1" x14ac:dyDescent="0.25">
      <c r="C739" s="2"/>
      <c r="F739" s="2"/>
    </row>
    <row r="740" spans="3:6" ht="15.75" customHeight="1" x14ac:dyDescent="0.25">
      <c r="C740" s="2"/>
      <c r="F740" s="2"/>
    </row>
    <row r="741" spans="3:6" ht="15.75" customHeight="1" x14ac:dyDescent="0.25">
      <c r="C741" s="2"/>
      <c r="F741" s="2"/>
    </row>
    <row r="742" spans="3:6" ht="15.75" customHeight="1" x14ac:dyDescent="0.25">
      <c r="C742" s="2"/>
      <c r="F742" s="2"/>
    </row>
    <row r="743" spans="3:6" ht="15.75" customHeight="1" x14ac:dyDescent="0.25">
      <c r="C743" s="2"/>
      <c r="F743" s="2"/>
    </row>
    <row r="744" spans="3:6" ht="15.75" customHeight="1" x14ac:dyDescent="0.25">
      <c r="C744" s="2"/>
      <c r="F744" s="2"/>
    </row>
    <row r="745" spans="3:6" ht="15.75" customHeight="1" x14ac:dyDescent="0.25">
      <c r="C745" s="2"/>
      <c r="F745" s="2"/>
    </row>
    <row r="746" spans="3:6" ht="15.75" customHeight="1" x14ac:dyDescent="0.25">
      <c r="C746" s="2"/>
      <c r="F746" s="2"/>
    </row>
    <row r="747" spans="3:6" ht="15.75" customHeight="1" x14ac:dyDescent="0.25">
      <c r="C747" s="2"/>
      <c r="F747" s="2"/>
    </row>
    <row r="748" spans="3:6" ht="15.75" customHeight="1" x14ac:dyDescent="0.25">
      <c r="C748" s="2"/>
      <c r="F748" s="2"/>
    </row>
    <row r="749" spans="3:6" ht="15.75" customHeight="1" x14ac:dyDescent="0.25">
      <c r="C749" s="2"/>
      <c r="F749" s="2"/>
    </row>
    <row r="750" spans="3:6" ht="15.75" customHeight="1" x14ac:dyDescent="0.25">
      <c r="C750" s="2"/>
      <c r="F750" s="2"/>
    </row>
    <row r="751" spans="3:6" ht="15.75" customHeight="1" x14ac:dyDescent="0.25">
      <c r="C751" s="2"/>
      <c r="F751" s="2"/>
    </row>
    <row r="752" spans="3:6" ht="15.75" customHeight="1" x14ac:dyDescent="0.25">
      <c r="C752" s="2"/>
      <c r="F752" s="2"/>
    </row>
    <row r="753" spans="3:6" ht="15.75" customHeight="1" x14ac:dyDescent="0.25">
      <c r="C753" s="2"/>
      <c r="F753" s="2"/>
    </row>
    <row r="754" spans="3:6" ht="15.75" customHeight="1" x14ac:dyDescent="0.25">
      <c r="C754" s="2"/>
      <c r="F754" s="2"/>
    </row>
    <row r="755" spans="3:6" ht="15.75" customHeight="1" x14ac:dyDescent="0.25">
      <c r="C755" s="2"/>
      <c r="F755" s="2"/>
    </row>
    <row r="756" spans="3:6" ht="15.75" customHeight="1" x14ac:dyDescent="0.25">
      <c r="C756" s="2"/>
      <c r="F756" s="2"/>
    </row>
    <row r="757" spans="3:6" ht="15.75" customHeight="1" x14ac:dyDescent="0.25">
      <c r="C757" s="2"/>
      <c r="F757" s="2"/>
    </row>
    <row r="758" spans="3:6" ht="15.75" customHeight="1" x14ac:dyDescent="0.25">
      <c r="C758" s="2"/>
      <c r="F758" s="2"/>
    </row>
    <row r="759" spans="3:6" ht="15.75" customHeight="1" x14ac:dyDescent="0.25">
      <c r="C759" s="2"/>
      <c r="F759" s="2"/>
    </row>
    <row r="760" spans="3:6" ht="15.75" customHeight="1" x14ac:dyDescent="0.25">
      <c r="C760" s="2"/>
      <c r="F760" s="2"/>
    </row>
    <row r="761" spans="3:6" ht="15.75" customHeight="1" x14ac:dyDescent="0.25">
      <c r="C761" s="2"/>
      <c r="F761" s="2"/>
    </row>
    <row r="762" spans="3:6" ht="15.75" customHeight="1" x14ac:dyDescent="0.25">
      <c r="C762" s="2"/>
      <c r="F762" s="2"/>
    </row>
    <row r="763" spans="3:6" ht="15.75" customHeight="1" x14ac:dyDescent="0.25">
      <c r="C763" s="2"/>
      <c r="F763" s="2"/>
    </row>
    <row r="764" spans="3:6" ht="15.75" customHeight="1" x14ac:dyDescent="0.25">
      <c r="C764" s="2"/>
      <c r="F764" s="2"/>
    </row>
    <row r="765" spans="3:6" ht="15.75" customHeight="1" x14ac:dyDescent="0.25">
      <c r="C765" s="2"/>
      <c r="F765" s="2"/>
    </row>
    <row r="766" spans="3:6" ht="15.75" customHeight="1" x14ac:dyDescent="0.25">
      <c r="C766" s="2"/>
      <c r="F766" s="2"/>
    </row>
    <row r="767" spans="3:6" ht="15.75" customHeight="1" x14ac:dyDescent="0.25">
      <c r="C767" s="2"/>
      <c r="F767" s="2"/>
    </row>
    <row r="768" spans="3:6" ht="15.75" customHeight="1" x14ac:dyDescent="0.25">
      <c r="C768" s="2"/>
      <c r="F768" s="2"/>
    </row>
    <row r="769" spans="3:6" ht="15.75" customHeight="1" x14ac:dyDescent="0.25">
      <c r="C769" s="2"/>
      <c r="F769" s="2"/>
    </row>
    <row r="770" spans="3:6" ht="15.75" customHeight="1" x14ac:dyDescent="0.25">
      <c r="C770" s="2"/>
      <c r="F770" s="2"/>
    </row>
    <row r="771" spans="3:6" ht="15.75" customHeight="1" x14ac:dyDescent="0.25">
      <c r="C771" s="2"/>
      <c r="F771" s="2"/>
    </row>
    <row r="772" spans="3:6" ht="15.75" customHeight="1" x14ac:dyDescent="0.25">
      <c r="C772" s="2"/>
      <c r="F772" s="2"/>
    </row>
    <row r="773" spans="3:6" ht="15.75" customHeight="1" x14ac:dyDescent="0.25">
      <c r="C773" s="2"/>
      <c r="F773" s="2"/>
    </row>
    <row r="774" spans="3:6" ht="15.75" customHeight="1" x14ac:dyDescent="0.25">
      <c r="C774" s="2"/>
      <c r="F774" s="2"/>
    </row>
    <row r="775" spans="3:6" ht="15.75" customHeight="1" x14ac:dyDescent="0.25">
      <c r="C775" s="2"/>
      <c r="F775" s="2"/>
    </row>
    <row r="776" spans="3:6" ht="15.75" customHeight="1" x14ac:dyDescent="0.25">
      <c r="C776" s="2"/>
      <c r="F776" s="2"/>
    </row>
    <row r="777" spans="3:6" ht="15.75" customHeight="1" x14ac:dyDescent="0.25">
      <c r="C777" s="2"/>
      <c r="F777" s="2"/>
    </row>
    <row r="778" spans="3:6" ht="15.75" customHeight="1" x14ac:dyDescent="0.25">
      <c r="C778" s="2"/>
      <c r="F778" s="2"/>
    </row>
    <row r="779" spans="3:6" ht="15.75" customHeight="1" x14ac:dyDescent="0.25">
      <c r="C779" s="2"/>
      <c r="F779" s="2"/>
    </row>
    <row r="780" spans="3:6" ht="15.75" customHeight="1" x14ac:dyDescent="0.25">
      <c r="C780" s="2"/>
      <c r="F780" s="2"/>
    </row>
    <row r="781" spans="3:6" ht="15.75" customHeight="1" x14ac:dyDescent="0.25">
      <c r="C781" s="2"/>
      <c r="F781" s="2"/>
    </row>
    <row r="782" spans="3:6" ht="15.75" customHeight="1" x14ac:dyDescent="0.25">
      <c r="C782" s="2"/>
      <c r="F782" s="2"/>
    </row>
    <row r="783" spans="3:6" ht="15.75" customHeight="1" x14ac:dyDescent="0.25">
      <c r="C783" s="2"/>
      <c r="F783" s="2"/>
    </row>
    <row r="784" spans="3:6" ht="15.75" customHeight="1" x14ac:dyDescent="0.25">
      <c r="C784" s="2"/>
      <c r="F784" s="2"/>
    </row>
    <row r="785" spans="3:6" ht="15.75" customHeight="1" x14ac:dyDescent="0.25">
      <c r="C785" s="2"/>
      <c r="F785" s="2"/>
    </row>
    <row r="786" spans="3:6" ht="15.75" customHeight="1" x14ac:dyDescent="0.25">
      <c r="C786" s="2"/>
      <c r="F786" s="2"/>
    </row>
    <row r="787" spans="3:6" ht="15.75" customHeight="1" x14ac:dyDescent="0.25">
      <c r="C787" s="2"/>
      <c r="F787" s="2"/>
    </row>
    <row r="788" spans="3:6" ht="15.75" customHeight="1" x14ac:dyDescent="0.25">
      <c r="C788" s="2"/>
      <c r="F788" s="2"/>
    </row>
    <row r="789" spans="3:6" ht="15.75" customHeight="1" x14ac:dyDescent="0.25">
      <c r="C789" s="2"/>
      <c r="F789" s="2"/>
    </row>
    <row r="790" spans="3:6" ht="15.75" customHeight="1" x14ac:dyDescent="0.25">
      <c r="C790" s="2"/>
      <c r="F790" s="2"/>
    </row>
    <row r="791" spans="3:6" ht="15.75" customHeight="1" x14ac:dyDescent="0.25">
      <c r="C791" s="2"/>
      <c r="F791" s="2"/>
    </row>
    <row r="792" spans="3:6" ht="15.75" customHeight="1" x14ac:dyDescent="0.25">
      <c r="C792" s="2"/>
      <c r="F792" s="2"/>
    </row>
    <row r="793" spans="3:6" ht="15.75" customHeight="1" x14ac:dyDescent="0.25">
      <c r="C793" s="2"/>
      <c r="F793" s="2"/>
    </row>
    <row r="794" spans="3:6" ht="15.75" customHeight="1" x14ac:dyDescent="0.25">
      <c r="C794" s="2"/>
      <c r="F794" s="2"/>
    </row>
    <row r="795" spans="3:6" ht="15.75" customHeight="1" x14ac:dyDescent="0.25">
      <c r="C795" s="2"/>
      <c r="F795" s="2"/>
    </row>
    <row r="796" spans="3:6" ht="15.75" customHeight="1" x14ac:dyDescent="0.25">
      <c r="C796" s="2"/>
      <c r="F796" s="2"/>
    </row>
    <row r="797" spans="3:6" ht="15.75" customHeight="1" x14ac:dyDescent="0.25">
      <c r="C797" s="2"/>
      <c r="F797" s="2"/>
    </row>
    <row r="798" spans="3:6" ht="15.75" customHeight="1" x14ac:dyDescent="0.25">
      <c r="C798" s="2"/>
      <c r="F798" s="2"/>
    </row>
    <row r="799" spans="3:6" ht="15.75" customHeight="1" x14ac:dyDescent="0.25">
      <c r="C799" s="2"/>
      <c r="F799" s="2"/>
    </row>
    <row r="800" spans="3:6" ht="15.75" customHeight="1" x14ac:dyDescent="0.25">
      <c r="C800" s="2"/>
      <c r="F800" s="2"/>
    </row>
    <row r="801" spans="3:6" ht="15.75" customHeight="1" x14ac:dyDescent="0.25">
      <c r="C801" s="2"/>
      <c r="F801" s="2"/>
    </row>
    <row r="802" spans="3:6" ht="15.75" customHeight="1" x14ac:dyDescent="0.25">
      <c r="C802" s="2"/>
      <c r="F802" s="2"/>
    </row>
    <row r="803" spans="3:6" ht="15.75" customHeight="1" x14ac:dyDescent="0.25">
      <c r="C803" s="2"/>
      <c r="F803" s="2"/>
    </row>
    <row r="804" spans="3:6" ht="15.75" customHeight="1" x14ac:dyDescent="0.25">
      <c r="C804" s="2"/>
      <c r="F804" s="2"/>
    </row>
    <row r="805" spans="3:6" ht="15.75" customHeight="1" x14ac:dyDescent="0.25">
      <c r="C805" s="2"/>
      <c r="F805" s="2"/>
    </row>
    <row r="806" spans="3:6" ht="15.75" customHeight="1" x14ac:dyDescent="0.25">
      <c r="C806" s="2"/>
      <c r="F806" s="2"/>
    </row>
    <row r="807" spans="3:6" ht="15.75" customHeight="1" x14ac:dyDescent="0.25">
      <c r="C807" s="2"/>
      <c r="F807" s="2"/>
    </row>
    <row r="808" spans="3:6" ht="15.75" customHeight="1" x14ac:dyDescent="0.25">
      <c r="C808" s="2"/>
      <c r="F808" s="2"/>
    </row>
    <row r="809" spans="3:6" ht="15.75" customHeight="1" x14ac:dyDescent="0.25">
      <c r="C809" s="2"/>
      <c r="F809" s="2"/>
    </row>
    <row r="810" spans="3:6" ht="15.75" customHeight="1" x14ac:dyDescent="0.25">
      <c r="C810" s="2"/>
      <c r="F810" s="2"/>
    </row>
    <row r="811" spans="3:6" ht="15.75" customHeight="1" x14ac:dyDescent="0.25">
      <c r="C811" s="2"/>
      <c r="F811" s="2"/>
    </row>
    <row r="812" spans="3:6" ht="15.75" customHeight="1" x14ac:dyDescent="0.25">
      <c r="C812" s="2"/>
      <c r="F812" s="2"/>
    </row>
    <row r="813" spans="3:6" ht="15.75" customHeight="1" x14ac:dyDescent="0.25">
      <c r="C813" s="2"/>
      <c r="F813" s="2"/>
    </row>
    <row r="814" spans="3:6" ht="15.75" customHeight="1" x14ac:dyDescent="0.25">
      <c r="C814" s="2"/>
      <c r="F814" s="2"/>
    </row>
    <row r="815" spans="3:6" ht="15.75" customHeight="1" x14ac:dyDescent="0.25">
      <c r="C815" s="2"/>
      <c r="F815" s="2"/>
    </row>
    <row r="816" spans="3:6" ht="15.75" customHeight="1" x14ac:dyDescent="0.25">
      <c r="C816" s="2"/>
      <c r="F816" s="2"/>
    </row>
    <row r="817" spans="3:6" ht="15.75" customHeight="1" x14ac:dyDescent="0.25">
      <c r="C817" s="2"/>
      <c r="F817" s="2"/>
    </row>
    <row r="818" spans="3:6" ht="15.75" customHeight="1" x14ac:dyDescent="0.25">
      <c r="C818" s="2"/>
      <c r="F818" s="2"/>
    </row>
    <row r="819" spans="3:6" ht="15.75" customHeight="1" x14ac:dyDescent="0.25">
      <c r="C819" s="2"/>
      <c r="F819" s="2"/>
    </row>
    <row r="820" spans="3:6" ht="15.75" customHeight="1" x14ac:dyDescent="0.25">
      <c r="C820" s="2"/>
      <c r="F820" s="2"/>
    </row>
    <row r="821" spans="3:6" ht="15.75" customHeight="1" x14ac:dyDescent="0.25">
      <c r="C821" s="2"/>
      <c r="F821" s="2"/>
    </row>
    <row r="822" spans="3:6" ht="15.75" customHeight="1" x14ac:dyDescent="0.25">
      <c r="C822" s="2"/>
      <c r="F822" s="2"/>
    </row>
    <row r="823" spans="3:6" ht="15.75" customHeight="1" x14ac:dyDescent="0.25">
      <c r="C823" s="2"/>
      <c r="F823" s="2"/>
    </row>
    <row r="824" spans="3:6" ht="15.75" customHeight="1" x14ac:dyDescent="0.25">
      <c r="C824" s="2"/>
      <c r="F824" s="2"/>
    </row>
    <row r="825" spans="3:6" ht="15.75" customHeight="1" x14ac:dyDescent="0.25">
      <c r="C825" s="2"/>
      <c r="F825" s="2"/>
    </row>
    <row r="826" spans="3:6" ht="15.75" customHeight="1" x14ac:dyDescent="0.25">
      <c r="C826" s="2"/>
      <c r="F826" s="2"/>
    </row>
    <row r="827" spans="3:6" ht="15.75" customHeight="1" x14ac:dyDescent="0.25">
      <c r="C827" s="2"/>
      <c r="F827" s="2"/>
    </row>
    <row r="828" spans="3:6" ht="15.75" customHeight="1" x14ac:dyDescent="0.25">
      <c r="C828" s="2"/>
      <c r="F828" s="2"/>
    </row>
    <row r="829" spans="3:6" ht="15.75" customHeight="1" x14ac:dyDescent="0.25">
      <c r="C829" s="2"/>
      <c r="F829" s="2"/>
    </row>
    <row r="830" spans="3:6" ht="15.75" customHeight="1" x14ac:dyDescent="0.25">
      <c r="C830" s="2"/>
      <c r="F830" s="2"/>
    </row>
    <row r="831" spans="3:6" ht="15.75" customHeight="1" x14ac:dyDescent="0.25">
      <c r="C831" s="2"/>
      <c r="F831" s="2"/>
    </row>
    <row r="832" spans="3:6" ht="15.75" customHeight="1" x14ac:dyDescent="0.25">
      <c r="C832" s="2"/>
      <c r="F832" s="2"/>
    </row>
    <row r="833" spans="3:6" ht="15.75" customHeight="1" x14ac:dyDescent="0.25">
      <c r="C833" s="2"/>
      <c r="F833" s="2"/>
    </row>
    <row r="834" spans="3:6" ht="15.75" customHeight="1" x14ac:dyDescent="0.25">
      <c r="C834" s="2"/>
      <c r="F834" s="2"/>
    </row>
    <row r="835" spans="3:6" ht="15.75" customHeight="1" x14ac:dyDescent="0.25">
      <c r="C835" s="2"/>
      <c r="F835" s="2"/>
    </row>
    <row r="836" spans="3:6" ht="15.75" customHeight="1" x14ac:dyDescent="0.25">
      <c r="C836" s="2"/>
      <c r="F836" s="2"/>
    </row>
    <row r="837" spans="3:6" ht="15.75" customHeight="1" x14ac:dyDescent="0.25">
      <c r="C837" s="2"/>
      <c r="F837" s="2"/>
    </row>
    <row r="838" spans="3:6" ht="15.75" customHeight="1" x14ac:dyDescent="0.25">
      <c r="C838" s="2"/>
      <c r="F838" s="2"/>
    </row>
    <row r="839" spans="3:6" ht="15.75" customHeight="1" x14ac:dyDescent="0.25">
      <c r="C839" s="2"/>
      <c r="F839" s="2"/>
    </row>
    <row r="840" spans="3:6" ht="15.75" customHeight="1" x14ac:dyDescent="0.25">
      <c r="C840" s="2"/>
      <c r="F840" s="2"/>
    </row>
    <row r="841" spans="3:6" ht="15.75" customHeight="1" x14ac:dyDescent="0.25">
      <c r="C841" s="2"/>
      <c r="F841" s="2"/>
    </row>
    <row r="842" spans="3:6" ht="15.75" customHeight="1" x14ac:dyDescent="0.25">
      <c r="C842" s="2"/>
      <c r="F842" s="2"/>
    </row>
    <row r="843" spans="3:6" ht="15.75" customHeight="1" x14ac:dyDescent="0.25">
      <c r="C843" s="2"/>
      <c r="F843" s="2"/>
    </row>
    <row r="844" spans="3:6" ht="15.75" customHeight="1" x14ac:dyDescent="0.25">
      <c r="C844" s="2"/>
      <c r="F844" s="2"/>
    </row>
    <row r="845" spans="3:6" ht="15.75" customHeight="1" x14ac:dyDescent="0.25">
      <c r="C845" s="2"/>
      <c r="F845" s="2"/>
    </row>
    <row r="846" spans="3:6" ht="15.75" customHeight="1" x14ac:dyDescent="0.25">
      <c r="C846" s="2"/>
      <c r="F846" s="2"/>
    </row>
    <row r="847" spans="3:6" ht="15.75" customHeight="1" x14ac:dyDescent="0.25">
      <c r="C847" s="2"/>
      <c r="F847" s="2"/>
    </row>
    <row r="848" spans="3:6" ht="15.75" customHeight="1" x14ac:dyDescent="0.25">
      <c r="C848" s="2"/>
      <c r="F848" s="2"/>
    </row>
    <row r="849" spans="3:6" ht="15.75" customHeight="1" x14ac:dyDescent="0.25">
      <c r="C849" s="2"/>
      <c r="F849" s="2"/>
    </row>
    <row r="850" spans="3:6" ht="15.75" customHeight="1" x14ac:dyDescent="0.25">
      <c r="C850" s="2"/>
      <c r="F850" s="2"/>
    </row>
    <row r="851" spans="3:6" ht="15.75" customHeight="1" x14ac:dyDescent="0.25">
      <c r="C851" s="2"/>
      <c r="F851" s="2"/>
    </row>
    <row r="852" spans="3:6" ht="15.75" customHeight="1" x14ac:dyDescent="0.25">
      <c r="C852" s="2"/>
      <c r="F852" s="2"/>
    </row>
    <row r="853" spans="3:6" ht="15.75" customHeight="1" x14ac:dyDescent="0.25">
      <c r="C853" s="2"/>
      <c r="F853" s="2"/>
    </row>
    <row r="854" spans="3:6" ht="15.75" customHeight="1" x14ac:dyDescent="0.25">
      <c r="C854" s="2"/>
      <c r="F854" s="2"/>
    </row>
    <row r="855" spans="3:6" ht="15.75" customHeight="1" x14ac:dyDescent="0.25">
      <c r="C855" s="2"/>
      <c r="F855" s="2"/>
    </row>
    <row r="856" spans="3:6" ht="15.75" customHeight="1" x14ac:dyDescent="0.25">
      <c r="C856" s="2"/>
      <c r="F856" s="2"/>
    </row>
    <row r="857" spans="3:6" ht="15.75" customHeight="1" x14ac:dyDescent="0.25">
      <c r="C857" s="2"/>
      <c r="F857" s="2"/>
    </row>
    <row r="858" spans="3:6" ht="15.75" customHeight="1" x14ac:dyDescent="0.25">
      <c r="C858" s="2"/>
      <c r="F858" s="2"/>
    </row>
    <row r="859" spans="3:6" ht="15.75" customHeight="1" x14ac:dyDescent="0.25">
      <c r="C859" s="2"/>
      <c r="F859" s="2"/>
    </row>
    <row r="860" spans="3:6" ht="15.75" customHeight="1" x14ac:dyDescent="0.25">
      <c r="C860" s="2"/>
      <c r="F860" s="2"/>
    </row>
    <row r="861" spans="3:6" ht="15.75" customHeight="1" x14ac:dyDescent="0.25">
      <c r="C861" s="2"/>
      <c r="F861" s="2"/>
    </row>
    <row r="862" spans="3:6" ht="15.75" customHeight="1" x14ac:dyDescent="0.25">
      <c r="C862" s="2"/>
      <c r="F862" s="2"/>
    </row>
    <row r="863" spans="3:6" ht="15.75" customHeight="1" x14ac:dyDescent="0.25">
      <c r="C863" s="2"/>
      <c r="F863" s="2"/>
    </row>
    <row r="864" spans="3:6" ht="15.75" customHeight="1" x14ac:dyDescent="0.25">
      <c r="C864" s="2"/>
      <c r="F864" s="2"/>
    </row>
    <row r="865" spans="3:6" ht="15.75" customHeight="1" x14ac:dyDescent="0.25">
      <c r="C865" s="2"/>
      <c r="F865" s="2"/>
    </row>
    <row r="866" spans="3:6" ht="15.75" customHeight="1" x14ac:dyDescent="0.25">
      <c r="C866" s="2"/>
      <c r="F866" s="2"/>
    </row>
    <row r="867" spans="3:6" ht="15.75" customHeight="1" x14ac:dyDescent="0.25">
      <c r="C867" s="2"/>
      <c r="F867" s="2"/>
    </row>
    <row r="868" spans="3:6" ht="15.75" customHeight="1" x14ac:dyDescent="0.25">
      <c r="C868" s="2"/>
      <c r="F868" s="2"/>
    </row>
    <row r="869" spans="3:6" ht="15.75" customHeight="1" x14ac:dyDescent="0.25">
      <c r="C869" s="2"/>
      <c r="F869" s="2"/>
    </row>
    <row r="870" spans="3:6" ht="15.75" customHeight="1" x14ac:dyDescent="0.25">
      <c r="C870" s="2"/>
      <c r="F870" s="2"/>
    </row>
    <row r="871" spans="3:6" ht="15.75" customHeight="1" x14ac:dyDescent="0.25">
      <c r="C871" s="2"/>
      <c r="F871" s="2"/>
    </row>
    <row r="872" spans="3:6" ht="15.75" customHeight="1" x14ac:dyDescent="0.25">
      <c r="C872" s="2"/>
      <c r="F872" s="2"/>
    </row>
    <row r="873" spans="3:6" ht="15.75" customHeight="1" x14ac:dyDescent="0.25">
      <c r="C873" s="2"/>
      <c r="F873" s="2"/>
    </row>
    <row r="874" spans="3:6" ht="15.75" customHeight="1" x14ac:dyDescent="0.25">
      <c r="C874" s="2"/>
      <c r="F874" s="2"/>
    </row>
    <row r="875" spans="3:6" ht="15.75" customHeight="1" x14ac:dyDescent="0.25">
      <c r="C875" s="2"/>
      <c r="F875" s="2"/>
    </row>
    <row r="876" spans="3:6" ht="15.75" customHeight="1" x14ac:dyDescent="0.25">
      <c r="C876" s="2"/>
      <c r="F876" s="2"/>
    </row>
    <row r="877" spans="3:6" ht="15.75" customHeight="1" x14ac:dyDescent="0.25">
      <c r="C877" s="2"/>
      <c r="F877" s="2"/>
    </row>
    <row r="878" spans="3:6" ht="15.75" customHeight="1" x14ac:dyDescent="0.25">
      <c r="C878" s="2"/>
      <c r="F878" s="2"/>
    </row>
    <row r="879" spans="3:6" ht="15.75" customHeight="1" x14ac:dyDescent="0.25">
      <c r="C879" s="2"/>
      <c r="F879" s="2"/>
    </row>
    <row r="880" spans="3:6" ht="15.75" customHeight="1" x14ac:dyDescent="0.25">
      <c r="C880" s="2"/>
      <c r="F880" s="2"/>
    </row>
    <row r="881" spans="3:6" ht="15.75" customHeight="1" x14ac:dyDescent="0.25">
      <c r="C881" s="2"/>
      <c r="F881" s="2"/>
    </row>
    <row r="882" spans="3:6" ht="15.75" customHeight="1" x14ac:dyDescent="0.25">
      <c r="C882" s="2"/>
      <c r="F882" s="2"/>
    </row>
    <row r="883" spans="3:6" ht="15.75" customHeight="1" x14ac:dyDescent="0.25">
      <c r="C883" s="2"/>
      <c r="F883" s="2"/>
    </row>
    <row r="884" spans="3:6" ht="15.75" customHeight="1" x14ac:dyDescent="0.25">
      <c r="C884" s="2"/>
      <c r="F884" s="2"/>
    </row>
    <row r="885" spans="3:6" ht="15.75" customHeight="1" x14ac:dyDescent="0.25">
      <c r="C885" s="2"/>
      <c r="F885" s="2"/>
    </row>
    <row r="886" spans="3:6" ht="15.75" customHeight="1" x14ac:dyDescent="0.25">
      <c r="C886" s="2"/>
      <c r="F886" s="2"/>
    </row>
    <row r="887" spans="3:6" ht="15.75" customHeight="1" x14ac:dyDescent="0.25">
      <c r="C887" s="2"/>
      <c r="F887" s="2"/>
    </row>
    <row r="888" spans="3:6" ht="15.75" customHeight="1" x14ac:dyDescent="0.25">
      <c r="C888" s="2"/>
      <c r="F888" s="2"/>
    </row>
    <row r="889" spans="3:6" ht="15.75" customHeight="1" x14ac:dyDescent="0.25">
      <c r="C889" s="2"/>
      <c r="F889" s="2"/>
    </row>
    <row r="890" spans="3:6" ht="15.75" customHeight="1" x14ac:dyDescent="0.25">
      <c r="C890" s="2"/>
      <c r="F890" s="2"/>
    </row>
    <row r="891" spans="3:6" ht="15.75" customHeight="1" x14ac:dyDescent="0.25">
      <c r="C891" s="2"/>
      <c r="F891" s="2"/>
    </row>
    <row r="892" spans="3:6" ht="15.75" customHeight="1" x14ac:dyDescent="0.25">
      <c r="C892" s="2"/>
      <c r="F892" s="2"/>
    </row>
    <row r="893" spans="3:6" ht="15.75" customHeight="1" x14ac:dyDescent="0.25">
      <c r="C893" s="2"/>
      <c r="F893" s="2"/>
    </row>
    <row r="894" spans="3:6" ht="15.75" customHeight="1" x14ac:dyDescent="0.25">
      <c r="C894" s="2"/>
      <c r="F894" s="2"/>
    </row>
    <row r="895" spans="3:6" ht="15.75" customHeight="1" x14ac:dyDescent="0.25">
      <c r="C895" s="2"/>
      <c r="F895" s="2"/>
    </row>
    <row r="896" spans="3:6" ht="15.75" customHeight="1" x14ac:dyDescent="0.25">
      <c r="C896" s="2"/>
      <c r="F896" s="2"/>
    </row>
    <row r="897" spans="3:6" ht="15.75" customHeight="1" x14ac:dyDescent="0.25">
      <c r="C897" s="2"/>
      <c r="F897" s="2"/>
    </row>
    <row r="898" spans="3:6" ht="15.75" customHeight="1" x14ac:dyDescent="0.25">
      <c r="C898" s="2"/>
      <c r="F898" s="2"/>
    </row>
    <row r="899" spans="3:6" ht="15.75" customHeight="1" x14ac:dyDescent="0.25">
      <c r="C899" s="2"/>
      <c r="F899" s="2"/>
    </row>
    <row r="900" spans="3:6" ht="15.75" customHeight="1" x14ac:dyDescent="0.25">
      <c r="C900" s="2"/>
      <c r="F900" s="2"/>
    </row>
    <row r="901" spans="3:6" ht="15.75" customHeight="1" x14ac:dyDescent="0.25">
      <c r="C901" s="2"/>
      <c r="F901" s="2"/>
    </row>
    <row r="902" spans="3:6" ht="15.75" customHeight="1" x14ac:dyDescent="0.25">
      <c r="C902" s="2"/>
      <c r="F902" s="2"/>
    </row>
    <row r="903" spans="3:6" ht="15.75" customHeight="1" x14ac:dyDescent="0.25">
      <c r="C903" s="2"/>
      <c r="F903" s="2"/>
    </row>
    <row r="904" spans="3:6" ht="15.75" customHeight="1" x14ac:dyDescent="0.25">
      <c r="C904" s="2"/>
      <c r="F904" s="2"/>
    </row>
    <row r="905" spans="3:6" ht="15.75" customHeight="1" x14ac:dyDescent="0.25">
      <c r="C905" s="2"/>
      <c r="F905" s="2"/>
    </row>
    <row r="906" spans="3:6" ht="15.75" customHeight="1" x14ac:dyDescent="0.25">
      <c r="C906" s="2"/>
      <c r="F906" s="2"/>
    </row>
    <row r="907" spans="3:6" ht="15.75" customHeight="1" x14ac:dyDescent="0.25">
      <c r="C907" s="2"/>
      <c r="F907" s="2"/>
    </row>
    <row r="908" spans="3:6" ht="15.75" customHeight="1" x14ac:dyDescent="0.25">
      <c r="C908" s="2"/>
      <c r="F908" s="2"/>
    </row>
    <row r="909" spans="3:6" ht="15.75" customHeight="1" x14ac:dyDescent="0.25">
      <c r="C909" s="2"/>
      <c r="F909" s="2"/>
    </row>
    <row r="910" spans="3:6" ht="15.75" customHeight="1" x14ac:dyDescent="0.25">
      <c r="C910" s="2"/>
      <c r="F910" s="2"/>
    </row>
    <row r="911" spans="3:6" ht="15.75" customHeight="1" x14ac:dyDescent="0.25">
      <c r="C911" s="2"/>
      <c r="F911" s="2"/>
    </row>
    <row r="912" spans="3:6" ht="15.75" customHeight="1" x14ac:dyDescent="0.25">
      <c r="C912" s="2"/>
      <c r="F912" s="2"/>
    </row>
    <row r="913" spans="3:6" ht="15.75" customHeight="1" x14ac:dyDescent="0.25">
      <c r="C913" s="2"/>
      <c r="F913" s="2"/>
    </row>
    <row r="914" spans="3:6" ht="15.75" customHeight="1" x14ac:dyDescent="0.25">
      <c r="C914" s="2"/>
      <c r="F914" s="2"/>
    </row>
    <row r="915" spans="3:6" ht="15.75" customHeight="1" x14ac:dyDescent="0.25">
      <c r="C915" s="2"/>
      <c r="F915" s="2"/>
    </row>
    <row r="916" spans="3:6" ht="15.75" customHeight="1" x14ac:dyDescent="0.25">
      <c r="C916" s="2"/>
      <c r="F916" s="2"/>
    </row>
    <row r="917" spans="3:6" ht="15.75" customHeight="1" x14ac:dyDescent="0.25">
      <c r="C917" s="2"/>
      <c r="F917" s="2"/>
    </row>
    <row r="918" spans="3:6" ht="15.75" customHeight="1" x14ac:dyDescent="0.25">
      <c r="C918" s="2"/>
      <c r="F918" s="2"/>
    </row>
    <row r="919" spans="3:6" ht="15.75" customHeight="1" x14ac:dyDescent="0.25">
      <c r="C919" s="2"/>
      <c r="F919" s="2"/>
    </row>
    <row r="920" spans="3:6" ht="15.75" customHeight="1" x14ac:dyDescent="0.25">
      <c r="C920" s="2"/>
      <c r="F920" s="2"/>
    </row>
    <row r="921" spans="3:6" ht="15.75" customHeight="1" x14ac:dyDescent="0.25">
      <c r="C921" s="2"/>
      <c r="F921" s="2"/>
    </row>
    <row r="922" spans="3:6" ht="15.75" customHeight="1" x14ac:dyDescent="0.25">
      <c r="C922" s="2"/>
      <c r="F922" s="2"/>
    </row>
    <row r="923" spans="3:6" ht="15.75" customHeight="1" x14ac:dyDescent="0.25">
      <c r="C923" s="2"/>
      <c r="F923" s="2"/>
    </row>
    <row r="924" spans="3:6" ht="15.75" customHeight="1" x14ac:dyDescent="0.25">
      <c r="C924" s="2"/>
      <c r="F924" s="2"/>
    </row>
    <row r="925" spans="3:6" ht="15.75" customHeight="1" x14ac:dyDescent="0.25">
      <c r="C925" s="2"/>
      <c r="F925" s="2"/>
    </row>
    <row r="926" spans="3:6" ht="15.75" customHeight="1" x14ac:dyDescent="0.25">
      <c r="C926" s="2"/>
      <c r="F926" s="2"/>
    </row>
    <row r="927" spans="3:6" ht="15.75" customHeight="1" x14ac:dyDescent="0.25">
      <c r="C927" s="2"/>
      <c r="F927" s="2"/>
    </row>
    <row r="928" spans="3:6" ht="15.75" customHeight="1" x14ac:dyDescent="0.25">
      <c r="C928" s="2"/>
      <c r="F928" s="2"/>
    </row>
    <row r="929" spans="3:6" ht="15.75" customHeight="1" x14ac:dyDescent="0.25">
      <c r="C929" s="2"/>
      <c r="F929" s="2"/>
    </row>
    <row r="930" spans="3:6" ht="15.75" customHeight="1" x14ac:dyDescent="0.25">
      <c r="C930" s="2"/>
      <c r="F930" s="2"/>
    </row>
    <row r="931" spans="3:6" ht="15.75" customHeight="1" x14ac:dyDescent="0.25">
      <c r="C931" s="2"/>
      <c r="F931" s="2"/>
    </row>
    <row r="932" spans="3:6" ht="15.75" customHeight="1" x14ac:dyDescent="0.25">
      <c r="C932" s="2"/>
      <c r="F932" s="2"/>
    </row>
    <row r="933" spans="3:6" ht="15.75" customHeight="1" x14ac:dyDescent="0.25">
      <c r="C933" s="2"/>
      <c r="F933" s="2"/>
    </row>
    <row r="934" spans="3:6" ht="15.75" customHeight="1" x14ac:dyDescent="0.25">
      <c r="C934" s="2"/>
      <c r="F934" s="2"/>
    </row>
    <row r="935" spans="3:6" ht="15.75" customHeight="1" x14ac:dyDescent="0.25">
      <c r="C935" s="2"/>
      <c r="F935" s="2"/>
    </row>
    <row r="936" spans="3:6" ht="15.75" customHeight="1" x14ac:dyDescent="0.25">
      <c r="C936" s="2"/>
      <c r="F936" s="2"/>
    </row>
    <row r="937" spans="3:6" ht="15.75" customHeight="1" x14ac:dyDescent="0.25">
      <c r="C937" s="2"/>
      <c r="F937" s="2"/>
    </row>
    <row r="938" spans="3:6" ht="15.75" customHeight="1" x14ac:dyDescent="0.25">
      <c r="C938" s="2"/>
      <c r="F938" s="2"/>
    </row>
    <row r="939" spans="3:6" ht="15.75" customHeight="1" x14ac:dyDescent="0.25">
      <c r="C939" s="2"/>
      <c r="F939" s="2"/>
    </row>
    <row r="940" spans="3:6" ht="15.75" customHeight="1" x14ac:dyDescent="0.25">
      <c r="C940" s="2"/>
      <c r="F940" s="2"/>
    </row>
    <row r="941" spans="3:6" ht="15.75" customHeight="1" x14ac:dyDescent="0.25">
      <c r="C941" s="2"/>
      <c r="F941" s="2"/>
    </row>
    <row r="942" spans="3:6" ht="15.75" customHeight="1" x14ac:dyDescent="0.25">
      <c r="C942" s="2"/>
      <c r="F942" s="2"/>
    </row>
    <row r="943" spans="3:6" ht="15.75" customHeight="1" x14ac:dyDescent="0.25">
      <c r="C943" s="2"/>
      <c r="F943" s="2"/>
    </row>
    <row r="944" spans="3:6" ht="15.75" customHeight="1" x14ac:dyDescent="0.25">
      <c r="C944" s="2"/>
      <c r="F944" s="2"/>
    </row>
    <row r="945" spans="3:6" ht="15.75" customHeight="1" x14ac:dyDescent="0.25">
      <c r="C945" s="2"/>
      <c r="F945" s="2"/>
    </row>
    <row r="946" spans="3:6" ht="15.75" customHeight="1" x14ac:dyDescent="0.25">
      <c r="C946" s="2"/>
      <c r="F946" s="2"/>
    </row>
    <row r="947" spans="3:6" ht="15.75" customHeight="1" x14ac:dyDescent="0.25">
      <c r="C947" s="2"/>
      <c r="F947" s="2"/>
    </row>
    <row r="948" spans="3:6" ht="15.75" customHeight="1" x14ac:dyDescent="0.25">
      <c r="C948" s="2"/>
      <c r="F948" s="2"/>
    </row>
    <row r="949" spans="3:6" ht="15.75" customHeight="1" x14ac:dyDescent="0.25">
      <c r="C949" s="2"/>
      <c r="F949" s="2"/>
    </row>
    <row r="950" spans="3:6" ht="15.75" customHeight="1" x14ac:dyDescent="0.25">
      <c r="C950" s="2"/>
      <c r="F950" s="2"/>
    </row>
    <row r="951" spans="3:6" ht="15.75" customHeight="1" x14ac:dyDescent="0.25">
      <c r="C951" s="2"/>
      <c r="F951" s="2"/>
    </row>
    <row r="952" spans="3:6" ht="15.75" customHeight="1" x14ac:dyDescent="0.25">
      <c r="C952" s="2"/>
      <c r="F952" s="2"/>
    </row>
    <row r="953" spans="3:6" ht="15.75" customHeight="1" x14ac:dyDescent="0.25">
      <c r="C953" s="2"/>
      <c r="F953" s="2"/>
    </row>
    <row r="954" spans="3:6" ht="15.75" customHeight="1" x14ac:dyDescent="0.25">
      <c r="C954" s="2"/>
      <c r="F954" s="2"/>
    </row>
    <row r="955" spans="3:6" ht="15.75" customHeight="1" x14ac:dyDescent="0.25">
      <c r="C955" s="2"/>
      <c r="F955" s="2"/>
    </row>
    <row r="956" spans="3:6" ht="15.75" customHeight="1" x14ac:dyDescent="0.25">
      <c r="C956" s="2"/>
      <c r="F956" s="2"/>
    </row>
    <row r="957" spans="3:6" ht="15.75" customHeight="1" x14ac:dyDescent="0.25">
      <c r="C957" s="2"/>
      <c r="F957" s="2"/>
    </row>
    <row r="958" spans="3:6" ht="15.75" customHeight="1" x14ac:dyDescent="0.25">
      <c r="C958" s="2"/>
      <c r="F958" s="2"/>
    </row>
    <row r="959" spans="3:6" ht="15.75" customHeight="1" x14ac:dyDescent="0.25">
      <c r="C959" s="2"/>
      <c r="F959" s="2"/>
    </row>
    <row r="960" spans="3:6" ht="15.75" customHeight="1" x14ac:dyDescent="0.25">
      <c r="C960" s="2"/>
      <c r="F960" s="2"/>
    </row>
    <row r="961" spans="3:6" ht="15.75" customHeight="1" x14ac:dyDescent="0.25">
      <c r="C961" s="2"/>
      <c r="F961" s="2"/>
    </row>
    <row r="962" spans="3:6" ht="15.75" customHeight="1" x14ac:dyDescent="0.25">
      <c r="C962" s="2"/>
      <c r="F962" s="2"/>
    </row>
    <row r="963" spans="3:6" ht="15.75" customHeight="1" x14ac:dyDescent="0.25">
      <c r="C963" s="2"/>
      <c r="F963" s="2"/>
    </row>
    <row r="964" spans="3:6" ht="15.75" customHeight="1" x14ac:dyDescent="0.25">
      <c r="C964" s="2"/>
      <c r="F964" s="2"/>
    </row>
    <row r="965" spans="3:6" ht="15.75" customHeight="1" x14ac:dyDescent="0.25">
      <c r="C965" s="2"/>
      <c r="F965" s="2"/>
    </row>
    <row r="966" spans="3:6" ht="15.75" customHeight="1" x14ac:dyDescent="0.25">
      <c r="C966" s="2"/>
      <c r="F966" s="2"/>
    </row>
    <row r="967" spans="3:6" ht="15.75" customHeight="1" x14ac:dyDescent="0.25">
      <c r="C967" s="2"/>
      <c r="F967" s="2"/>
    </row>
    <row r="968" spans="3:6" ht="15.75" customHeight="1" x14ac:dyDescent="0.25">
      <c r="C968" s="2"/>
      <c r="F968" s="2"/>
    </row>
    <row r="969" spans="3:6" ht="15.75" customHeight="1" x14ac:dyDescent="0.25">
      <c r="C969" s="2"/>
      <c r="F969" s="2"/>
    </row>
    <row r="970" spans="3:6" ht="15.75" customHeight="1" x14ac:dyDescent="0.25">
      <c r="C970" s="2"/>
      <c r="F970" s="2"/>
    </row>
    <row r="971" spans="3:6" ht="15.75" customHeight="1" x14ac:dyDescent="0.25">
      <c r="C971" s="2"/>
      <c r="F971" s="2"/>
    </row>
    <row r="972" spans="3:6" ht="15.75" customHeight="1" x14ac:dyDescent="0.25">
      <c r="C972" s="2"/>
      <c r="F972" s="2"/>
    </row>
    <row r="973" spans="3:6" ht="15.75" customHeight="1" x14ac:dyDescent="0.25">
      <c r="C973" s="2"/>
      <c r="F973" s="2"/>
    </row>
    <row r="974" spans="3:6" ht="15.75" customHeight="1" x14ac:dyDescent="0.25">
      <c r="C974" s="2"/>
      <c r="F974" s="2"/>
    </row>
    <row r="975" spans="3:6" ht="15.75" customHeight="1" x14ac:dyDescent="0.25">
      <c r="C975" s="2"/>
      <c r="F975" s="2"/>
    </row>
    <row r="976" spans="3:6" ht="15.75" customHeight="1" x14ac:dyDescent="0.25">
      <c r="C976" s="2"/>
      <c r="F976" s="2"/>
    </row>
    <row r="977" spans="3:6" ht="15.75" customHeight="1" x14ac:dyDescent="0.25">
      <c r="C977" s="2"/>
      <c r="F977" s="2"/>
    </row>
    <row r="978" spans="3:6" ht="15.75" customHeight="1" x14ac:dyDescent="0.25">
      <c r="C978" s="2"/>
      <c r="F978" s="2"/>
    </row>
    <row r="979" spans="3:6" ht="15.75" customHeight="1" x14ac:dyDescent="0.25">
      <c r="C979" s="2"/>
      <c r="F979" s="2"/>
    </row>
    <row r="980" spans="3:6" ht="15.75" customHeight="1" x14ac:dyDescent="0.25">
      <c r="C980" s="2"/>
      <c r="F980" s="2"/>
    </row>
    <row r="981" spans="3:6" ht="15.75" customHeight="1" x14ac:dyDescent="0.25">
      <c r="C981" s="2"/>
      <c r="F981" s="2"/>
    </row>
    <row r="982" spans="3:6" ht="15.75" customHeight="1" x14ac:dyDescent="0.25">
      <c r="C982" s="2"/>
      <c r="F982" s="2"/>
    </row>
    <row r="983" spans="3:6" ht="15.75" customHeight="1" x14ac:dyDescent="0.25">
      <c r="C983" s="2"/>
      <c r="F983" s="2"/>
    </row>
    <row r="984" spans="3:6" ht="15.75" customHeight="1" x14ac:dyDescent="0.25">
      <c r="C984" s="2"/>
      <c r="F984" s="2"/>
    </row>
    <row r="985" spans="3:6" ht="15.75" customHeight="1" x14ac:dyDescent="0.25">
      <c r="C985" s="2"/>
      <c r="F985" s="2"/>
    </row>
    <row r="986" spans="3:6" ht="15.75" customHeight="1" x14ac:dyDescent="0.25">
      <c r="C986" s="2"/>
      <c r="F986" s="2"/>
    </row>
    <row r="987" spans="3:6" ht="15.75" customHeight="1" x14ac:dyDescent="0.25">
      <c r="C987" s="2"/>
      <c r="F987" s="2"/>
    </row>
    <row r="988" spans="3:6" ht="15.75" customHeight="1" x14ac:dyDescent="0.25">
      <c r="C988" s="2"/>
      <c r="F988" s="2"/>
    </row>
    <row r="989" spans="3:6" ht="15.75" customHeight="1" x14ac:dyDescent="0.25">
      <c r="C989" s="2"/>
      <c r="F989" s="2"/>
    </row>
    <row r="990" spans="3:6" ht="15.75" customHeight="1" x14ac:dyDescent="0.25">
      <c r="C990" s="2"/>
      <c r="F990" s="2"/>
    </row>
    <row r="991" spans="3:6" ht="15.75" customHeight="1" x14ac:dyDescent="0.25">
      <c r="C991" s="2"/>
      <c r="F991" s="2"/>
    </row>
    <row r="992" spans="3:6" ht="15.75" customHeight="1" x14ac:dyDescent="0.25">
      <c r="C992" s="2"/>
      <c r="F992" s="2"/>
    </row>
    <row r="993" spans="3:6" ht="15.75" customHeight="1" x14ac:dyDescent="0.25">
      <c r="C993" s="2"/>
      <c r="F993" s="2"/>
    </row>
    <row r="994" spans="3:6" ht="15.75" customHeight="1" x14ac:dyDescent="0.25">
      <c r="C994" s="2"/>
      <c r="F994" s="2"/>
    </row>
    <row r="995" spans="3:6" ht="15.75" customHeight="1" x14ac:dyDescent="0.25">
      <c r="C995" s="2"/>
      <c r="F995" s="2"/>
    </row>
    <row r="996" spans="3:6" ht="15.75" customHeight="1" x14ac:dyDescent="0.25">
      <c r="C996" s="2"/>
      <c r="F996" s="2"/>
    </row>
    <row r="997" spans="3:6" ht="15.75" customHeight="1" x14ac:dyDescent="0.25">
      <c r="C997" s="2"/>
      <c r="F997" s="2"/>
    </row>
    <row r="998" spans="3:6" ht="15.75" customHeight="1" x14ac:dyDescent="0.25">
      <c r="C998" s="2"/>
      <c r="F998" s="2"/>
    </row>
    <row r="999" spans="3:6" ht="15.75" customHeight="1" x14ac:dyDescent="0.25">
      <c r="C999" s="2"/>
      <c r="F999" s="2"/>
    </row>
    <row r="1000" spans="3:6" ht="15.75" customHeight="1" x14ac:dyDescent="0.25">
      <c r="C1000" s="2"/>
      <c r="F1000" s="2"/>
    </row>
  </sheetData>
  <mergeCells count="5">
    <mergeCell ref="B2:G2"/>
    <mergeCell ref="I2:K2"/>
    <mergeCell ref="N2:P2"/>
    <mergeCell ref="N14:P14"/>
    <mergeCell ref="I32:K32"/>
  </mergeCells>
  <pageMargins left="0.7" right="0.7" top="0.75" bottom="0.75" header="0" footer="0"/>
  <pageSetup orientation="portrait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981"/>
  <sheetViews>
    <sheetView topLeftCell="A41" zoomScaleNormal="100" workbookViewId="0">
      <selection activeCell="S44" sqref="S44"/>
    </sheetView>
  </sheetViews>
  <sheetFormatPr baseColWidth="10" defaultColWidth="14.42578125" defaultRowHeight="15" customHeight="1" x14ac:dyDescent="0.25"/>
  <cols>
    <col min="1" max="2" width="10.7109375" customWidth="1"/>
    <col min="3" max="3" width="15" customWidth="1"/>
    <col min="4" max="4" width="14.42578125" customWidth="1"/>
    <col min="5" max="5" width="14.85546875" customWidth="1"/>
    <col min="6" max="6" width="13.5703125" customWidth="1"/>
    <col min="7" max="7" width="18.42578125" customWidth="1"/>
    <col min="8" max="8" width="13.42578125" customWidth="1"/>
    <col min="9" max="9" width="19.28515625" customWidth="1"/>
    <col min="10" max="10" width="28.7109375" customWidth="1"/>
    <col min="11" max="11" width="13.5703125" customWidth="1"/>
    <col min="12" max="12" width="22.140625" customWidth="1"/>
    <col min="13" max="13" width="21" customWidth="1"/>
    <col min="14" max="14" width="24.42578125" customWidth="1"/>
    <col min="15" max="15" width="10.7109375" customWidth="1"/>
    <col min="16" max="16" width="11.7109375" bestFit="1" customWidth="1"/>
    <col min="17" max="17" width="11.42578125" bestFit="1" customWidth="1"/>
    <col min="18" max="18" width="17.85546875" bestFit="1" customWidth="1"/>
    <col min="19" max="26" width="10.7109375" customWidth="1"/>
  </cols>
  <sheetData>
    <row r="1" spans="3:22" x14ac:dyDescent="0.25">
      <c r="Q1" s="108" t="s">
        <v>330</v>
      </c>
      <c r="R1" s="109"/>
      <c r="S1" s="109"/>
      <c r="T1" s="109"/>
      <c r="U1" s="109"/>
      <c r="V1" s="110"/>
    </row>
    <row r="3" spans="3:22" x14ac:dyDescent="0.25">
      <c r="C3" s="105" t="s">
        <v>331</v>
      </c>
      <c r="D3" s="106"/>
      <c r="E3" s="106"/>
      <c r="F3" s="106"/>
      <c r="G3" s="106"/>
      <c r="H3" s="106"/>
      <c r="I3" s="106"/>
      <c r="J3" s="107"/>
      <c r="L3" s="105" t="s">
        <v>332</v>
      </c>
      <c r="M3" s="106"/>
      <c r="N3" s="111"/>
    </row>
    <row r="4" spans="3:22" x14ac:dyDescent="0.25">
      <c r="C4" s="23" t="s">
        <v>0</v>
      </c>
      <c r="D4" s="23" t="s">
        <v>333</v>
      </c>
      <c r="E4" s="23" t="s">
        <v>2</v>
      </c>
      <c r="F4" s="23" t="s">
        <v>334</v>
      </c>
      <c r="G4" s="23" t="s">
        <v>4</v>
      </c>
      <c r="H4" s="23" t="s">
        <v>335</v>
      </c>
      <c r="I4" s="23" t="s">
        <v>6</v>
      </c>
      <c r="J4" s="23" t="s">
        <v>7</v>
      </c>
      <c r="L4" s="23" t="s">
        <v>0</v>
      </c>
      <c r="M4" s="23" t="s">
        <v>336</v>
      </c>
      <c r="N4" s="23" t="s">
        <v>337</v>
      </c>
    </row>
    <row r="5" spans="3:22" x14ac:dyDescent="0.25">
      <c r="C5" s="19">
        <v>2015</v>
      </c>
      <c r="D5" s="12">
        <v>2435900</v>
      </c>
      <c r="E5" s="19">
        <v>42</v>
      </c>
      <c r="F5" s="12">
        <v>809000</v>
      </c>
      <c r="G5" s="19">
        <v>13.9</v>
      </c>
      <c r="H5" s="12">
        <v>2559800</v>
      </c>
      <c r="I5" s="19">
        <v>44.1</v>
      </c>
      <c r="J5" s="12">
        <v>5804700</v>
      </c>
      <c r="L5" s="19">
        <v>2015</v>
      </c>
      <c r="M5" s="12">
        <v>3.424293</v>
      </c>
      <c r="N5" s="12">
        <v>5.8047000000000004</v>
      </c>
    </row>
    <row r="6" spans="3:22" x14ac:dyDescent="0.25">
      <c r="C6" s="19">
        <v>2016</v>
      </c>
      <c r="D6" s="12">
        <v>2606500</v>
      </c>
      <c r="E6" s="19">
        <v>41.8</v>
      </c>
      <c r="F6" s="12">
        <v>819600</v>
      </c>
      <c r="G6" s="19">
        <v>13.2</v>
      </c>
      <c r="H6" s="12">
        <v>2799000</v>
      </c>
      <c r="I6" s="19">
        <v>45</v>
      </c>
      <c r="J6" s="12">
        <v>6225100</v>
      </c>
      <c r="L6" s="19">
        <v>2016</v>
      </c>
      <c r="M6" s="12">
        <v>3.9312710000000002</v>
      </c>
      <c r="N6" s="12">
        <v>6.2251000000000003</v>
      </c>
    </row>
    <row r="7" spans="3:22" x14ac:dyDescent="0.25">
      <c r="C7" s="19">
        <v>2017</v>
      </c>
      <c r="D7" s="12">
        <v>2546700</v>
      </c>
      <c r="E7" s="19">
        <v>39.9</v>
      </c>
      <c r="F7" s="12">
        <v>749100</v>
      </c>
      <c r="G7" s="19">
        <v>11.7</v>
      </c>
      <c r="H7" s="12">
        <v>3092800</v>
      </c>
      <c r="I7" s="19">
        <v>48.4</v>
      </c>
      <c r="J7" s="12">
        <v>6388600</v>
      </c>
      <c r="L7" s="19">
        <v>2017</v>
      </c>
      <c r="M7" s="12">
        <v>4.2361760000000004</v>
      </c>
      <c r="N7" s="12">
        <v>6.3886000000000003</v>
      </c>
    </row>
    <row r="8" spans="3:22" x14ac:dyDescent="0.25">
      <c r="C8" s="19">
        <v>2018</v>
      </c>
      <c r="D8" s="12">
        <v>2366500</v>
      </c>
      <c r="E8" s="19">
        <v>41.8</v>
      </c>
      <c r="F8" s="12">
        <v>692100</v>
      </c>
      <c r="G8" s="19">
        <v>12.2</v>
      </c>
      <c r="H8" s="12">
        <v>2602200</v>
      </c>
      <c r="I8" s="19">
        <v>46</v>
      </c>
      <c r="J8" s="12">
        <v>5660800</v>
      </c>
      <c r="L8" s="19">
        <v>2018</v>
      </c>
      <c r="M8" s="12">
        <v>3.5225610000000001</v>
      </c>
      <c r="N8" s="12">
        <v>5.6608000000000001</v>
      </c>
    </row>
    <row r="9" spans="3:22" x14ac:dyDescent="0.25">
      <c r="C9" s="19">
        <v>2019</v>
      </c>
      <c r="D9" s="12">
        <v>2238100</v>
      </c>
      <c r="E9" s="19">
        <v>41.7</v>
      </c>
      <c r="F9" s="12">
        <v>613200</v>
      </c>
      <c r="G9" s="19">
        <v>11.4</v>
      </c>
      <c r="H9" s="12">
        <v>2521800</v>
      </c>
      <c r="I9" s="19">
        <v>46.9</v>
      </c>
      <c r="J9" s="12">
        <v>5373100</v>
      </c>
      <c r="L9" s="19">
        <v>2019</v>
      </c>
      <c r="M9" s="12">
        <v>3.425754</v>
      </c>
      <c r="N9" s="12">
        <v>5.3731</v>
      </c>
    </row>
    <row r="10" spans="3:22" x14ac:dyDescent="0.25">
      <c r="C10" s="19">
        <v>2020</v>
      </c>
      <c r="D10" s="12">
        <v>2176600</v>
      </c>
      <c r="E10" s="19">
        <v>39.700000000000003</v>
      </c>
      <c r="F10" s="12">
        <v>588500</v>
      </c>
      <c r="G10" s="19">
        <v>10.7</v>
      </c>
      <c r="H10" s="12">
        <v>2718700</v>
      </c>
      <c r="I10" s="19">
        <v>49.6</v>
      </c>
      <c r="J10" s="12">
        <v>5483800</v>
      </c>
      <c r="L10" s="19">
        <v>2020</v>
      </c>
      <c r="M10" s="12">
        <v>3.9129170000000002</v>
      </c>
      <c r="N10" s="12">
        <v>5.4837999999999996</v>
      </c>
    </row>
    <row r="11" spans="3:22" x14ac:dyDescent="0.25">
      <c r="C11" s="19">
        <v>2021</v>
      </c>
      <c r="D11" s="12">
        <v>2161200</v>
      </c>
      <c r="E11" s="19">
        <v>40.9</v>
      </c>
      <c r="F11" s="12">
        <v>679700</v>
      </c>
      <c r="G11" s="19">
        <v>12.8</v>
      </c>
      <c r="H11" s="12">
        <v>2447200</v>
      </c>
      <c r="I11" s="19">
        <v>46.3</v>
      </c>
      <c r="J11" s="12">
        <v>5288100</v>
      </c>
      <c r="L11" s="19">
        <v>2021</v>
      </c>
      <c r="M11" s="12">
        <v>3.22912</v>
      </c>
      <c r="N11" s="12">
        <v>5.2881</v>
      </c>
    </row>
    <row r="12" spans="3:22" x14ac:dyDescent="0.25">
      <c r="C12" s="19">
        <v>2022</v>
      </c>
      <c r="D12" s="12">
        <v>2566300</v>
      </c>
      <c r="E12" s="19">
        <v>40.299999999999997</v>
      </c>
      <c r="F12" s="12">
        <v>740600</v>
      </c>
      <c r="G12" s="19">
        <v>11.6</v>
      </c>
      <c r="H12" s="12">
        <v>3060600</v>
      </c>
      <c r="I12" s="19">
        <v>48.1</v>
      </c>
      <c r="J12" s="12">
        <v>6367500</v>
      </c>
      <c r="L12" s="19">
        <v>2022</v>
      </c>
      <c r="M12" s="12">
        <v>4.1837850000000003</v>
      </c>
      <c r="N12" s="12">
        <v>6.3674999999999997</v>
      </c>
    </row>
    <row r="13" spans="3:22" x14ac:dyDescent="0.25">
      <c r="C13" s="19">
        <v>2023</v>
      </c>
      <c r="D13" s="12">
        <v>2454900</v>
      </c>
      <c r="E13" s="19">
        <v>40.299999999999997</v>
      </c>
      <c r="F13" s="12">
        <v>701100</v>
      </c>
      <c r="G13" s="19">
        <v>11.5</v>
      </c>
      <c r="H13" s="12">
        <v>2940100</v>
      </c>
      <c r="I13" s="19">
        <v>48.2</v>
      </c>
      <c r="J13" s="12">
        <v>6096100</v>
      </c>
      <c r="L13" s="19">
        <v>2023</v>
      </c>
      <c r="M13" s="12">
        <v>3.994434</v>
      </c>
      <c r="N13" s="12">
        <v>6.0960999999999999</v>
      </c>
    </row>
    <row r="14" spans="3:22" x14ac:dyDescent="0.25">
      <c r="C14" s="19">
        <v>2024</v>
      </c>
      <c r="D14" s="12">
        <v>2485000</v>
      </c>
      <c r="E14" s="19">
        <v>41.9</v>
      </c>
      <c r="F14" s="12">
        <v>642700</v>
      </c>
      <c r="G14" s="19">
        <v>10.8</v>
      </c>
      <c r="H14" s="12">
        <v>2808900</v>
      </c>
      <c r="I14" s="19">
        <v>47.3</v>
      </c>
      <c r="J14" s="12">
        <v>5936600</v>
      </c>
      <c r="L14" s="19">
        <v>2024</v>
      </c>
      <c r="M14" s="12">
        <v>3.999692</v>
      </c>
      <c r="N14" s="12">
        <v>5.9366000000000003</v>
      </c>
    </row>
    <row r="17" spans="3:22" x14ac:dyDescent="0.25">
      <c r="C17" s="105" t="s">
        <v>338</v>
      </c>
      <c r="D17" s="106"/>
      <c r="E17" s="106"/>
      <c r="F17" s="106"/>
      <c r="G17" s="106"/>
      <c r="H17" s="106"/>
      <c r="I17" s="106"/>
      <c r="J17" s="107"/>
      <c r="L17" s="24" t="s">
        <v>339</v>
      </c>
      <c r="M17" s="24">
        <v>2015</v>
      </c>
      <c r="N17" s="24">
        <v>2016</v>
      </c>
      <c r="O17" s="24">
        <v>2017</v>
      </c>
      <c r="P17" s="24">
        <v>2018</v>
      </c>
      <c r="Q17" s="24">
        <v>2019</v>
      </c>
      <c r="R17" s="24">
        <v>2020</v>
      </c>
      <c r="S17" s="24">
        <v>2021</v>
      </c>
      <c r="T17" s="24">
        <v>2022</v>
      </c>
      <c r="U17" s="24">
        <v>2023</v>
      </c>
      <c r="V17" s="24">
        <v>2024</v>
      </c>
    </row>
    <row r="18" spans="3:22" x14ac:dyDescent="0.25">
      <c r="C18" s="4" t="s">
        <v>13</v>
      </c>
      <c r="D18" s="4" t="s">
        <v>14</v>
      </c>
      <c r="E18" s="4" t="s">
        <v>15</v>
      </c>
      <c r="F18" s="6" t="s">
        <v>16</v>
      </c>
      <c r="G18" s="7" t="s">
        <v>21</v>
      </c>
      <c r="H18" s="7" t="s">
        <v>340</v>
      </c>
      <c r="I18" s="7" t="s">
        <v>336</v>
      </c>
      <c r="J18" s="7" t="s">
        <v>341</v>
      </c>
      <c r="L18" s="8" t="s">
        <v>85</v>
      </c>
      <c r="M18" s="12">
        <v>608529</v>
      </c>
      <c r="N18" s="12">
        <v>740893</v>
      </c>
      <c r="O18" s="12">
        <v>856961</v>
      </c>
      <c r="P18" s="12">
        <v>627093</v>
      </c>
      <c r="Q18" s="12">
        <v>729766</v>
      </c>
      <c r="R18" s="12">
        <v>778003</v>
      </c>
      <c r="S18" s="12">
        <v>593433</v>
      </c>
      <c r="T18" s="12">
        <v>886236</v>
      </c>
      <c r="U18" s="12">
        <v>777865</v>
      </c>
      <c r="V18" s="25">
        <v>853645</v>
      </c>
    </row>
    <row r="19" spans="3:22" x14ac:dyDescent="0.25">
      <c r="C19" s="8" t="s">
        <v>85</v>
      </c>
      <c r="D19" s="9" t="s">
        <v>89</v>
      </c>
      <c r="E19" s="10" t="s">
        <v>24</v>
      </c>
      <c r="F19" s="11" t="s">
        <v>25</v>
      </c>
      <c r="G19" s="12">
        <v>790000</v>
      </c>
      <c r="H19" s="12">
        <v>323</v>
      </c>
      <c r="I19" s="12">
        <v>853645</v>
      </c>
      <c r="J19" s="12">
        <f>'Produccion local vs nacional'!$H19*'Produccion local vs nacional'!$I19</f>
        <v>275727335</v>
      </c>
      <c r="L19" s="8" t="s">
        <v>175</v>
      </c>
      <c r="M19" s="12">
        <v>202977</v>
      </c>
      <c r="N19" s="12">
        <v>214188</v>
      </c>
      <c r="O19" s="12">
        <v>186961</v>
      </c>
      <c r="P19" s="12">
        <v>185666</v>
      </c>
      <c r="Q19" s="12">
        <v>160919</v>
      </c>
      <c r="R19" s="12">
        <v>169410</v>
      </c>
      <c r="S19" s="12">
        <v>188015</v>
      </c>
      <c r="T19" s="12">
        <v>201954</v>
      </c>
      <c r="U19" s="12">
        <v>194769</v>
      </c>
      <c r="V19" s="25">
        <v>183857</v>
      </c>
    </row>
    <row r="20" spans="3:22" x14ac:dyDescent="0.25">
      <c r="C20" s="8" t="s">
        <v>175</v>
      </c>
      <c r="D20" s="9" t="s">
        <v>176</v>
      </c>
      <c r="E20" s="10" t="s">
        <v>24</v>
      </c>
      <c r="F20" s="11" t="s">
        <v>25</v>
      </c>
      <c r="G20" s="12">
        <v>231000</v>
      </c>
      <c r="H20" s="12">
        <v>550</v>
      </c>
      <c r="I20" s="12">
        <v>183857</v>
      </c>
      <c r="J20" s="12">
        <f>'Produccion local vs nacional'!$H20*'Produccion local vs nacional'!$I20</f>
        <v>101121350</v>
      </c>
      <c r="L20" s="8" t="s">
        <v>193</v>
      </c>
      <c r="M20" s="12">
        <v>176001</v>
      </c>
      <c r="N20" s="12">
        <v>186723</v>
      </c>
      <c r="O20" s="12">
        <v>161280</v>
      </c>
      <c r="P20" s="12">
        <v>161788</v>
      </c>
      <c r="Q20" s="12">
        <v>141568</v>
      </c>
      <c r="R20" s="12">
        <v>132240</v>
      </c>
      <c r="S20" s="12">
        <v>144372</v>
      </c>
      <c r="T20" s="12">
        <v>170017</v>
      </c>
      <c r="U20" s="12">
        <v>164124</v>
      </c>
      <c r="V20" s="25">
        <v>160508</v>
      </c>
    </row>
    <row r="21" spans="3:22" ht="15.75" customHeight="1" x14ac:dyDescent="0.25">
      <c r="C21" s="8" t="s">
        <v>193</v>
      </c>
      <c r="D21" s="9" t="s">
        <v>176</v>
      </c>
      <c r="E21" s="10" t="s">
        <v>24</v>
      </c>
      <c r="F21" s="11" t="s">
        <v>25</v>
      </c>
      <c r="G21" s="12">
        <v>266000</v>
      </c>
      <c r="H21" s="12">
        <v>149</v>
      </c>
      <c r="I21" s="12">
        <v>160508</v>
      </c>
      <c r="J21" s="12">
        <f>'Produccion local vs nacional'!$H21*'Produccion local vs nacional'!$I21</f>
        <v>23915692</v>
      </c>
      <c r="L21" s="8" t="s">
        <v>223</v>
      </c>
      <c r="M21" s="12">
        <v>718038</v>
      </c>
      <c r="N21" s="12">
        <v>771232</v>
      </c>
      <c r="O21" s="12">
        <v>726352</v>
      </c>
      <c r="P21" s="12">
        <v>718057</v>
      </c>
      <c r="Q21" s="12">
        <v>546109</v>
      </c>
      <c r="R21" s="12">
        <v>736784</v>
      </c>
      <c r="S21" s="12">
        <v>649076</v>
      </c>
      <c r="T21" s="12">
        <v>707675</v>
      </c>
      <c r="U21" s="12">
        <v>761850</v>
      </c>
      <c r="V21" s="25">
        <v>667918</v>
      </c>
    </row>
    <row r="22" spans="3:22" ht="15.75" customHeight="1" x14ac:dyDescent="0.25">
      <c r="C22" s="8" t="s">
        <v>223</v>
      </c>
      <c r="D22" s="9" t="s">
        <v>218</v>
      </c>
      <c r="E22" s="10" t="s">
        <v>24</v>
      </c>
      <c r="F22" s="11" t="s">
        <v>25</v>
      </c>
      <c r="G22" s="12">
        <v>750000</v>
      </c>
      <c r="H22" s="12">
        <v>946</v>
      </c>
      <c r="I22" s="12">
        <v>667918</v>
      </c>
      <c r="J22" s="12">
        <f>'Produccion local vs nacional'!$H22*'Produccion local vs nacional'!$I22</f>
        <v>631850428</v>
      </c>
      <c r="L22" s="8" t="s">
        <v>259</v>
      </c>
      <c r="M22" s="12">
        <v>204045</v>
      </c>
      <c r="N22" s="12">
        <v>212579</v>
      </c>
      <c r="O22" s="12">
        <v>187361</v>
      </c>
      <c r="P22" s="12">
        <v>184077</v>
      </c>
      <c r="Q22" s="12">
        <v>161511</v>
      </c>
      <c r="R22" s="12">
        <v>168628</v>
      </c>
      <c r="S22" s="12">
        <v>185740</v>
      </c>
      <c r="T22" s="12">
        <v>203440</v>
      </c>
      <c r="U22" s="12">
        <v>194865</v>
      </c>
      <c r="V22" s="25">
        <v>182556</v>
      </c>
    </row>
    <row r="23" spans="3:22" ht="15.75" customHeight="1" x14ac:dyDescent="0.25">
      <c r="C23" s="8" t="s">
        <v>223</v>
      </c>
      <c r="D23" s="9" t="s">
        <v>218</v>
      </c>
      <c r="E23" s="10" t="s">
        <v>24</v>
      </c>
      <c r="F23" s="11" t="s">
        <v>25</v>
      </c>
      <c r="G23" s="12"/>
      <c r="H23" s="12"/>
      <c r="I23" s="12"/>
      <c r="J23" s="12">
        <f>'Produccion local vs nacional'!$H23*'Produccion local vs nacional'!$I23</f>
        <v>0</v>
      </c>
      <c r="L23" s="8" t="s">
        <v>265</v>
      </c>
      <c r="M23" s="12">
        <v>249443</v>
      </c>
      <c r="N23" s="12">
        <v>286920</v>
      </c>
      <c r="O23" s="12">
        <v>258638</v>
      </c>
      <c r="P23" s="12">
        <v>304276</v>
      </c>
      <c r="Q23" s="12">
        <v>211794</v>
      </c>
      <c r="R23" s="12">
        <v>283294</v>
      </c>
      <c r="S23" s="12">
        <v>250126</v>
      </c>
      <c r="T23" s="12">
        <v>276054</v>
      </c>
      <c r="U23" s="12">
        <v>283406</v>
      </c>
      <c r="V23" s="25">
        <v>250701</v>
      </c>
    </row>
    <row r="24" spans="3:22" ht="15.75" customHeight="1" x14ac:dyDescent="0.25">
      <c r="C24" s="8" t="s">
        <v>259</v>
      </c>
      <c r="D24" s="9" t="s">
        <v>260</v>
      </c>
      <c r="E24" s="10" t="s">
        <v>24</v>
      </c>
      <c r="F24" s="11" t="s">
        <v>25</v>
      </c>
      <c r="G24" s="12">
        <v>230000</v>
      </c>
      <c r="H24" s="12">
        <v>1218</v>
      </c>
      <c r="I24" s="12">
        <v>182556</v>
      </c>
      <c r="J24" s="12">
        <f>'Produccion local vs nacional'!$H24*'Produccion local vs nacional'!$I24</f>
        <v>222353208</v>
      </c>
      <c r="L24" s="8" t="s">
        <v>266</v>
      </c>
      <c r="M24" s="12">
        <v>72728</v>
      </c>
      <c r="N24" s="12">
        <v>3114</v>
      </c>
      <c r="O24" s="12">
        <v>84051</v>
      </c>
      <c r="P24" s="12">
        <v>90363</v>
      </c>
      <c r="Q24" s="12">
        <v>78428</v>
      </c>
      <c r="R24" s="12">
        <v>99758</v>
      </c>
      <c r="S24" s="12">
        <v>80509</v>
      </c>
      <c r="T24" s="12">
        <v>88874</v>
      </c>
      <c r="U24" s="12">
        <v>95641</v>
      </c>
      <c r="V24" s="25">
        <v>93802</v>
      </c>
    </row>
    <row r="25" spans="3:22" ht="15.75" customHeight="1" x14ac:dyDescent="0.25">
      <c r="C25" s="8" t="s">
        <v>265</v>
      </c>
      <c r="D25" s="9" t="s">
        <v>218</v>
      </c>
      <c r="E25" s="10" t="s">
        <v>24</v>
      </c>
      <c r="F25" s="11" t="s">
        <v>25</v>
      </c>
      <c r="G25" s="12">
        <v>135000</v>
      </c>
      <c r="H25" s="12"/>
      <c r="I25" s="12">
        <v>250701</v>
      </c>
      <c r="J25" s="12">
        <f>'Produccion local vs nacional'!$H25*'Produccion local vs nacional'!$I25</f>
        <v>0</v>
      </c>
      <c r="L25" s="8" t="s">
        <v>267</v>
      </c>
      <c r="M25" s="12">
        <v>260302</v>
      </c>
      <c r="N25" s="12">
        <v>309886</v>
      </c>
      <c r="O25" s="12">
        <v>279610</v>
      </c>
      <c r="P25" s="12">
        <v>235234</v>
      </c>
      <c r="Q25" s="12">
        <v>217261</v>
      </c>
      <c r="R25" s="12">
        <v>261225</v>
      </c>
      <c r="S25" s="12">
        <v>219141</v>
      </c>
      <c r="T25" s="12">
        <v>271714</v>
      </c>
      <c r="U25" s="12">
        <v>301835</v>
      </c>
      <c r="V25" s="25">
        <v>274288</v>
      </c>
    </row>
    <row r="26" spans="3:22" ht="15.75" customHeight="1" x14ac:dyDescent="0.25">
      <c r="C26" s="8" t="s">
        <v>265</v>
      </c>
      <c r="D26" s="9" t="s">
        <v>218</v>
      </c>
      <c r="E26" s="10" t="s">
        <v>24</v>
      </c>
      <c r="F26" s="11" t="s">
        <v>25</v>
      </c>
      <c r="G26" s="12"/>
      <c r="H26" s="12"/>
      <c r="I26" s="12"/>
      <c r="J26" s="12">
        <f>'Produccion local vs nacional'!$H26*'Produccion local vs nacional'!$I26</f>
        <v>0</v>
      </c>
      <c r="L26" s="8" t="s">
        <v>287</v>
      </c>
      <c r="M26" s="12">
        <v>932230</v>
      </c>
      <c r="N26" s="12">
        <v>1205736</v>
      </c>
      <c r="O26" s="12">
        <v>1494962</v>
      </c>
      <c r="P26" s="12">
        <v>1016007</v>
      </c>
      <c r="Q26" s="12">
        <v>1178398</v>
      </c>
      <c r="R26" s="12">
        <v>1283575</v>
      </c>
      <c r="S26" s="12">
        <v>918708</v>
      </c>
      <c r="T26" s="12">
        <v>1377821</v>
      </c>
      <c r="U26" s="12">
        <v>1220079</v>
      </c>
      <c r="V26" s="25">
        <v>1332417</v>
      </c>
    </row>
    <row r="27" spans="3:22" ht="15.75" customHeight="1" x14ac:dyDescent="0.25">
      <c r="C27" s="8" t="s">
        <v>265</v>
      </c>
      <c r="D27" s="9" t="s">
        <v>218</v>
      </c>
      <c r="E27" s="10" t="s">
        <v>24</v>
      </c>
      <c r="F27" s="11" t="s">
        <v>25</v>
      </c>
      <c r="G27" s="12"/>
      <c r="H27" s="12"/>
      <c r="I27" s="12"/>
      <c r="J27" s="12">
        <f>'Produccion local vs nacional'!$H27*'Produccion local vs nacional'!$I27</f>
        <v>0</v>
      </c>
      <c r="L27" s="8" t="s">
        <v>7</v>
      </c>
      <c r="M27" s="12">
        <f t="shared" ref="M27:U27" si="0">SUM(M18:M26)</f>
        <v>3424293</v>
      </c>
      <c r="N27" s="12">
        <f t="shared" si="0"/>
        <v>3931271</v>
      </c>
      <c r="O27" s="12">
        <f t="shared" si="0"/>
        <v>4236176</v>
      </c>
      <c r="P27" s="12">
        <f t="shared" si="0"/>
        <v>3522561</v>
      </c>
      <c r="Q27" s="12">
        <f t="shared" si="0"/>
        <v>3425754</v>
      </c>
      <c r="R27" s="12">
        <f t="shared" si="0"/>
        <v>3912917</v>
      </c>
      <c r="S27" s="12">
        <f t="shared" si="0"/>
        <v>3229120</v>
      </c>
      <c r="T27" s="12">
        <f t="shared" si="0"/>
        <v>4183785</v>
      </c>
      <c r="U27" s="12">
        <f t="shared" si="0"/>
        <v>3994434</v>
      </c>
      <c r="V27" s="25">
        <f>SUM(V18:V26)</f>
        <v>3999692</v>
      </c>
    </row>
    <row r="28" spans="3:22" ht="15.75" customHeight="1" x14ac:dyDescent="0.25">
      <c r="C28" s="8" t="s">
        <v>266</v>
      </c>
      <c r="D28" s="9" t="s">
        <v>218</v>
      </c>
      <c r="E28" s="10" t="s">
        <v>24</v>
      </c>
      <c r="F28" s="11" t="s">
        <v>25</v>
      </c>
      <c r="G28" s="12">
        <v>110000</v>
      </c>
      <c r="H28" s="12">
        <v>1312</v>
      </c>
      <c r="I28" s="12">
        <v>93802</v>
      </c>
      <c r="J28" s="12">
        <f>'Produccion local vs nacional'!$H28*'Produccion local vs nacional'!$I28</f>
        <v>123068224</v>
      </c>
    </row>
    <row r="29" spans="3:22" ht="15.75" customHeight="1" x14ac:dyDescent="0.25">
      <c r="C29" s="8" t="s">
        <v>267</v>
      </c>
      <c r="D29" s="9" t="s">
        <v>218</v>
      </c>
      <c r="E29" s="10" t="s">
        <v>24</v>
      </c>
      <c r="F29" s="11" t="s">
        <v>25</v>
      </c>
      <c r="G29" s="12">
        <v>520000</v>
      </c>
      <c r="H29" s="12"/>
      <c r="I29" s="12">
        <v>274288</v>
      </c>
      <c r="J29" s="12">
        <f>'Produccion local vs nacional'!$H29*'Produccion local vs nacional'!$I29</f>
        <v>0</v>
      </c>
    </row>
    <row r="30" spans="3:22" ht="15.75" customHeight="1" x14ac:dyDescent="0.25">
      <c r="C30" s="8" t="s">
        <v>267</v>
      </c>
      <c r="D30" s="9" t="s">
        <v>218</v>
      </c>
      <c r="E30" s="10" t="s">
        <v>24</v>
      </c>
      <c r="F30" s="11" t="s">
        <v>25</v>
      </c>
      <c r="G30" s="12"/>
      <c r="H30" s="12"/>
      <c r="I30" s="12"/>
      <c r="J30" s="12">
        <f>'Produccion local vs nacional'!$H30*'Produccion local vs nacional'!$I30</f>
        <v>0</v>
      </c>
    </row>
    <row r="31" spans="3:22" ht="15.75" customHeight="1" x14ac:dyDescent="0.25">
      <c r="C31" s="8" t="s">
        <v>287</v>
      </c>
      <c r="D31" s="9" t="s">
        <v>89</v>
      </c>
      <c r="E31" s="10" t="s">
        <v>24</v>
      </c>
      <c r="F31" s="11" t="s">
        <v>25</v>
      </c>
      <c r="G31" s="12">
        <v>1320000</v>
      </c>
      <c r="H31" s="12">
        <v>378</v>
      </c>
      <c r="I31" s="12">
        <v>1332417</v>
      </c>
      <c r="J31" s="12">
        <f>'Produccion local vs nacional'!$H31*'Produccion local vs nacional'!$I31</f>
        <v>503653626</v>
      </c>
    </row>
    <row r="32" spans="3:22" ht="15.75" customHeight="1" x14ac:dyDescent="0.25">
      <c r="C32" s="8" t="s">
        <v>7</v>
      </c>
      <c r="D32" s="9"/>
      <c r="E32" s="10"/>
      <c r="F32" s="11"/>
      <c r="G32" s="12">
        <f>SUM(G19:G31)</f>
        <v>4352000</v>
      </c>
      <c r="H32" s="12"/>
      <c r="I32" s="12">
        <f t="shared" ref="I32:J32" si="1">SUM(I19:I31)</f>
        <v>3999692</v>
      </c>
      <c r="J32" s="12">
        <f t="shared" si="1"/>
        <v>1881689863</v>
      </c>
    </row>
    <row r="33" spans="3:18" ht="15.75" customHeight="1" x14ac:dyDescent="0.25">
      <c r="D33" s="26"/>
      <c r="E33" s="27"/>
      <c r="F33" s="28"/>
      <c r="G33" s="1"/>
      <c r="H33" s="1"/>
      <c r="I33" s="1"/>
      <c r="J33" s="1"/>
    </row>
    <row r="34" spans="3:18" ht="15.75" customHeight="1" x14ac:dyDescent="0.25">
      <c r="C34" s="112" t="s">
        <v>342</v>
      </c>
      <c r="D34" s="113"/>
      <c r="E34" s="113"/>
      <c r="F34" s="113"/>
      <c r="G34" s="114"/>
      <c r="I34" s="105">
        <v>2024</v>
      </c>
      <c r="J34" s="106"/>
      <c r="K34" s="106"/>
      <c r="L34" s="106"/>
      <c r="M34" s="106"/>
      <c r="N34" s="106"/>
      <c r="O34" s="106"/>
      <c r="P34" s="106"/>
      <c r="Q34" s="106"/>
      <c r="R34" s="107"/>
    </row>
    <row r="35" spans="3:18" ht="15.75" customHeight="1" x14ac:dyDescent="0.25">
      <c r="C35" s="105">
        <v>2021</v>
      </c>
      <c r="D35" s="106"/>
      <c r="E35" s="106"/>
      <c r="F35" s="106"/>
      <c r="G35" s="107"/>
      <c r="I35" s="6" t="s">
        <v>13</v>
      </c>
      <c r="J35" s="6" t="s">
        <v>14</v>
      </c>
      <c r="K35" s="6" t="s">
        <v>15</v>
      </c>
      <c r="L35" s="6" t="s">
        <v>16</v>
      </c>
      <c r="M35" s="6" t="s">
        <v>342</v>
      </c>
      <c r="N35" s="33" t="s">
        <v>345</v>
      </c>
      <c r="O35" s="33" t="s">
        <v>346</v>
      </c>
      <c r="P35" s="33" t="s">
        <v>347</v>
      </c>
      <c r="Q35" s="33" t="s">
        <v>348</v>
      </c>
      <c r="R35" s="33" t="s">
        <v>349</v>
      </c>
    </row>
    <row r="36" spans="3:18" ht="15.75" customHeight="1" x14ac:dyDescent="0.25">
      <c r="C36" s="6" t="s">
        <v>13</v>
      </c>
      <c r="D36" s="6" t="s">
        <v>14</v>
      </c>
      <c r="E36" s="6" t="s">
        <v>15</v>
      </c>
      <c r="F36" s="6" t="s">
        <v>16</v>
      </c>
      <c r="G36" s="6" t="s">
        <v>342</v>
      </c>
      <c r="I36" s="29" t="s">
        <v>85</v>
      </c>
      <c r="J36" s="9" t="s">
        <v>89</v>
      </c>
      <c r="K36" s="10" t="s">
        <v>24</v>
      </c>
      <c r="L36" s="11" t="s">
        <v>25</v>
      </c>
      <c r="M36" s="30">
        <v>821676</v>
      </c>
      <c r="N36" s="12"/>
      <c r="O36" s="12">
        <v>323</v>
      </c>
      <c r="P36" s="12">
        <f t="shared" ref="P36:P51" si="2">N36*M36</f>
        <v>0</v>
      </c>
      <c r="Q36" s="12">
        <f t="shared" ref="Q36:Q51" si="3">O36*M36</f>
        <v>265401348</v>
      </c>
      <c r="R36" s="12">
        <v>265401348</v>
      </c>
    </row>
    <row r="37" spans="3:18" ht="15.75" customHeight="1" x14ac:dyDescent="0.25">
      <c r="C37" s="29" t="s">
        <v>85</v>
      </c>
      <c r="D37" s="9" t="s">
        <v>89</v>
      </c>
      <c r="E37" s="10" t="s">
        <v>24</v>
      </c>
      <c r="F37" s="11" t="s">
        <v>25</v>
      </c>
      <c r="G37" s="30">
        <v>566856</v>
      </c>
      <c r="I37" s="29" t="s">
        <v>175</v>
      </c>
      <c r="J37" s="9" t="s">
        <v>176</v>
      </c>
      <c r="K37" s="10" t="s">
        <v>24</v>
      </c>
      <c r="L37" s="11" t="s">
        <v>25</v>
      </c>
      <c r="M37" s="12">
        <v>183857</v>
      </c>
      <c r="N37" s="12"/>
      <c r="O37" s="12"/>
      <c r="P37" s="12">
        <f t="shared" si="2"/>
        <v>0</v>
      </c>
      <c r="Q37" s="12">
        <f t="shared" si="3"/>
        <v>0</v>
      </c>
      <c r="R37" s="12">
        <v>0</v>
      </c>
    </row>
    <row r="38" spans="3:18" ht="15.75" customHeight="1" x14ac:dyDescent="0.25">
      <c r="C38" s="29" t="s">
        <v>175</v>
      </c>
      <c r="D38" s="9" t="s">
        <v>176</v>
      </c>
      <c r="E38" s="10" t="s">
        <v>24</v>
      </c>
      <c r="F38" s="11" t="s">
        <v>25</v>
      </c>
      <c r="G38" s="12">
        <v>188015</v>
      </c>
      <c r="I38" s="29" t="s">
        <v>193</v>
      </c>
      <c r="J38" s="9" t="s">
        <v>176</v>
      </c>
      <c r="K38" s="10" t="s">
        <v>24</v>
      </c>
      <c r="L38" s="11" t="s">
        <v>25</v>
      </c>
      <c r="M38" s="12">
        <v>160508</v>
      </c>
      <c r="N38" s="12"/>
      <c r="O38" s="12"/>
      <c r="P38" s="12">
        <f t="shared" si="2"/>
        <v>0</v>
      </c>
      <c r="Q38" s="12">
        <f t="shared" si="3"/>
        <v>0</v>
      </c>
      <c r="R38" s="12"/>
    </row>
    <row r="39" spans="3:18" ht="15.75" customHeight="1" x14ac:dyDescent="0.25">
      <c r="C39" s="29" t="s">
        <v>193</v>
      </c>
      <c r="D39" s="9" t="s">
        <v>176</v>
      </c>
      <c r="E39" s="10" t="s">
        <v>24</v>
      </c>
      <c r="F39" s="11" t="s">
        <v>25</v>
      </c>
      <c r="G39" s="12">
        <v>164823</v>
      </c>
      <c r="I39" s="29" t="s">
        <v>223</v>
      </c>
      <c r="J39" s="9" t="s">
        <v>218</v>
      </c>
      <c r="K39" s="10" t="s">
        <v>24</v>
      </c>
      <c r="L39" s="11" t="s">
        <v>25</v>
      </c>
      <c r="M39" s="30">
        <v>711218</v>
      </c>
      <c r="N39" s="12">
        <v>946</v>
      </c>
      <c r="O39" s="12"/>
      <c r="P39" s="12">
        <f t="shared" si="2"/>
        <v>672812228</v>
      </c>
      <c r="Q39" s="12">
        <f t="shared" si="3"/>
        <v>0</v>
      </c>
      <c r="R39" s="12">
        <v>672812228</v>
      </c>
    </row>
    <row r="40" spans="3:18" ht="15.75" customHeight="1" x14ac:dyDescent="0.25">
      <c r="C40" s="29" t="s">
        <v>223</v>
      </c>
      <c r="D40" s="9" t="s">
        <v>218</v>
      </c>
      <c r="E40" s="10" t="s">
        <v>24</v>
      </c>
      <c r="F40" s="11" t="s">
        <v>25</v>
      </c>
      <c r="G40" s="30">
        <v>640928</v>
      </c>
      <c r="I40" s="29" t="s">
        <v>223</v>
      </c>
      <c r="J40" s="9" t="s">
        <v>218</v>
      </c>
      <c r="K40" s="10" t="s">
        <v>24</v>
      </c>
      <c r="L40" s="11" t="s">
        <v>25</v>
      </c>
      <c r="M40" s="12"/>
      <c r="N40" s="12"/>
      <c r="O40" s="12"/>
      <c r="P40" s="12">
        <f t="shared" si="2"/>
        <v>0</v>
      </c>
      <c r="Q40" s="12">
        <f t="shared" si="3"/>
        <v>0</v>
      </c>
      <c r="R40" s="12">
        <v>0</v>
      </c>
    </row>
    <row r="41" spans="3:18" ht="15.75" customHeight="1" x14ac:dyDescent="0.25">
      <c r="C41" s="29" t="s">
        <v>223</v>
      </c>
      <c r="D41" s="9" t="s">
        <v>218</v>
      </c>
      <c r="E41" s="10" t="s">
        <v>24</v>
      </c>
      <c r="F41" s="11" t="s">
        <v>25</v>
      </c>
      <c r="G41" s="12"/>
      <c r="I41" s="29" t="s">
        <v>259</v>
      </c>
      <c r="J41" s="9" t="s">
        <v>260</v>
      </c>
      <c r="K41" s="10" t="s">
        <v>24</v>
      </c>
      <c r="L41" s="11" t="s">
        <v>25</v>
      </c>
      <c r="M41" s="12">
        <v>99354</v>
      </c>
      <c r="N41" s="12">
        <v>1677</v>
      </c>
      <c r="O41" s="12">
        <v>759</v>
      </c>
      <c r="P41" s="12">
        <f t="shared" si="2"/>
        <v>166616658</v>
      </c>
      <c r="Q41" s="12">
        <f t="shared" si="3"/>
        <v>75409686</v>
      </c>
      <c r="R41" s="12">
        <v>75409686</v>
      </c>
    </row>
    <row r="42" spans="3:18" ht="15.75" customHeight="1" x14ac:dyDescent="0.25">
      <c r="C42" s="29" t="s">
        <v>259</v>
      </c>
      <c r="D42" s="9" t="s">
        <v>260</v>
      </c>
      <c r="E42" s="10" t="s">
        <v>24</v>
      </c>
      <c r="F42" s="11" t="s">
        <v>25</v>
      </c>
      <c r="G42" s="12">
        <v>159339</v>
      </c>
      <c r="I42" s="29" t="s">
        <v>265</v>
      </c>
      <c r="J42" s="9" t="s">
        <v>218</v>
      </c>
      <c r="K42" s="10" t="s">
        <v>24</v>
      </c>
      <c r="L42" s="11" t="s">
        <v>25</v>
      </c>
      <c r="M42" s="12">
        <v>214373</v>
      </c>
      <c r="N42" s="12">
        <v>1489</v>
      </c>
      <c r="O42" s="12">
        <v>1202</v>
      </c>
      <c r="P42" s="12">
        <f t="shared" si="2"/>
        <v>319201397</v>
      </c>
      <c r="Q42" s="12">
        <f t="shared" si="3"/>
        <v>257676346</v>
      </c>
      <c r="R42" s="12">
        <v>257676346</v>
      </c>
    </row>
    <row r="43" spans="3:18" ht="15.75" customHeight="1" x14ac:dyDescent="0.25">
      <c r="C43" s="29" t="s">
        <v>265</v>
      </c>
      <c r="D43" s="9" t="s">
        <v>218</v>
      </c>
      <c r="E43" s="10" t="s">
        <v>24</v>
      </c>
      <c r="F43" s="11" t="s">
        <v>25</v>
      </c>
      <c r="G43" s="12">
        <v>251651</v>
      </c>
      <c r="I43" s="29" t="s">
        <v>265</v>
      </c>
      <c r="J43" s="9" t="s">
        <v>218</v>
      </c>
      <c r="K43" s="10" t="s">
        <v>24</v>
      </c>
      <c r="L43" s="11" t="s">
        <v>25</v>
      </c>
      <c r="M43" s="31"/>
      <c r="N43" s="12"/>
      <c r="O43" s="12"/>
      <c r="P43" s="12">
        <f t="shared" si="2"/>
        <v>0</v>
      </c>
      <c r="Q43" s="12">
        <f t="shared" si="3"/>
        <v>0</v>
      </c>
      <c r="R43" s="12">
        <v>0</v>
      </c>
    </row>
    <row r="44" spans="3:18" ht="15.75" customHeight="1" x14ac:dyDescent="0.25">
      <c r="C44" s="29" t="s">
        <v>265</v>
      </c>
      <c r="D44" s="9" t="s">
        <v>218</v>
      </c>
      <c r="E44" s="10" t="s">
        <v>24</v>
      </c>
      <c r="F44" s="11" t="s">
        <v>25</v>
      </c>
      <c r="G44" s="31"/>
      <c r="I44" s="29" t="s">
        <v>265</v>
      </c>
      <c r="J44" s="9" t="s">
        <v>218</v>
      </c>
      <c r="K44" s="10" t="s">
        <v>24</v>
      </c>
      <c r="L44" s="11" t="s">
        <v>25</v>
      </c>
      <c r="M44" s="12"/>
      <c r="N44" s="12"/>
      <c r="O44" s="12"/>
      <c r="P44" s="12">
        <f t="shared" si="2"/>
        <v>0</v>
      </c>
      <c r="Q44" s="12">
        <f t="shared" si="3"/>
        <v>0</v>
      </c>
      <c r="R44" s="12">
        <v>0</v>
      </c>
    </row>
    <row r="45" spans="3:18" ht="15.75" customHeight="1" x14ac:dyDescent="0.25">
      <c r="C45" s="29" t="s">
        <v>265</v>
      </c>
      <c r="D45" s="9" t="s">
        <v>218</v>
      </c>
      <c r="E45" s="10" t="s">
        <v>24</v>
      </c>
      <c r="F45" s="11" t="s">
        <v>25</v>
      </c>
      <c r="G45" s="12"/>
      <c r="I45" s="29" t="s">
        <v>266</v>
      </c>
      <c r="J45" s="9" t="s">
        <v>218</v>
      </c>
      <c r="K45" s="10" t="s">
        <v>24</v>
      </c>
      <c r="L45" s="11" t="s">
        <v>25</v>
      </c>
      <c r="M45" s="12">
        <v>192114</v>
      </c>
      <c r="N45" s="12">
        <v>1439</v>
      </c>
      <c r="O45" s="12">
        <v>1185</v>
      </c>
      <c r="P45" s="12">
        <f t="shared" si="2"/>
        <v>276452046</v>
      </c>
      <c r="Q45" s="12">
        <f t="shared" si="3"/>
        <v>227655090</v>
      </c>
      <c r="R45" s="12">
        <v>227655090</v>
      </c>
    </row>
    <row r="46" spans="3:18" ht="15.75" customHeight="1" x14ac:dyDescent="0.25">
      <c r="C46" s="29" t="s">
        <v>266</v>
      </c>
      <c r="D46" s="9" t="s">
        <v>218</v>
      </c>
      <c r="E46" s="10" t="s">
        <v>24</v>
      </c>
      <c r="F46" s="11" t="s">
        <v>25</v>
      </c>
      <c r="G46" s="12">
        <v>138440</v>
      </c>
      <c r="I46" s="29" t="s">
        <v>267</v>
      </c>
      <c r="J46" s="9" t="s">
        <v>218</v>
      </c>
      <c r="K46" s="10" t="s">
        <v>24</v>
      </c>
      <c r="L46" s="11" t="s">
        <v>25</v>
      </c>
      <c r="M46" s="12">
        <v>218513</v>
      </c>
      <c r="N46" s="12">
        <v>1508</v>
      </c>
      <c r="O46" s="12">
        <v>1140</v>
      </c>
      <c r="P46" s="12">
        <f t="shared" si="2"/>
        <v>329517604</v>
      </c>
      <c r="Q46" s="12">
        <f t="shared" si="3"/>
        <v>249104820</v>
      </c>
      <c r="R46" s="12">
        <v>249104820</v>
      </c>
    </row>
    <row r="47" spans="3:18" ht="15.75" customHeight="1" x14ac:dyDescent="0.25">
      <c r="C47" s="29" t="s">
        <v>267</v>
      </c>
      <c r="D47" s="9" t="s">
        <v>218</v>
      </c>
      <c r="E47" s="10" t="s">
        <v>24</v>
      </c>
      <c r="F47" s="11" t="s">
        <v>25</v>
      </c>
      <c r="G47" s="12">
        <v>250086</v>
      </c>
      <c r="I47" s="29" t="s">
        <v>267</v>
      </c>
      <c r="J47" s="9" t="s">
        <v>218</v>
      </c>
      <c r="K47" s="10" t="s">
        <v>24</v>
      </c>
      <c r="L47" s="11" t="s">
        <v>25</v>
      </c>
      <c r="M47" s="12"/>
      <c r="N47" s="12"/>
      <c r="O47" s="12"/>
      <c r="P47" s="12">
        <f t="shared" si="2"/>
        <v>0</v>
      </c>
      <c r="Q47" s="12">
        <f t="shared" si="3"/>
        <v>0</v>
      </c>
      <c r="R47" s="12">
        <v>0</v>
      </c>
    </row>
    <row r="48" spans="3:18" ht="15.75" customHeight="1" x14ac:dyDescent="0.25">
      <c r="C48" s="29" t="s">
        <v>267</v>
      </c>
      <c r="D48" s="9" t="s">
        <v>218</v>
      </c>
      <c r="E48" s="10" t="s">
        <v>24</v>
      </c>
      <c r="F48" s="11" t="s">
        <v>25</v>
      </c>
      <c r="G48" s="12"/>
      <c r="I48" s="29" t="s">
        <v>287</v>
      </c>
      <c r="J48" s="9" t="s">
        <v>89</v>
      </c>
      <c r="K48" s="10" t="s">
        <v>24</v>
      </c>
      <c r="L48" s="11" t="s">
        <v>25</v>
      </c>
      <c r="M48" s="12">
        <v>2413559</v>
      </c>
      <c r="N48" s="12">
        <v>378</v>
      </c>
      <c r="O48" s="12"/>
      <c r="P48" s="12">
        <f t="shared" si="2"/>
        <v>912325302</v>
      </c>
      <c r="Q48" s="12">
        <f t="shared" si="3"/>
        <v>0</v>
      </c>
      <c r="R48" s="12">
        <v>912325302</v>
      </c>
    </row>
    <row r="49" spans="3:18" ht="15.75" customHeight="1" x14ac:dyDescent="0.25">
      <c r="C49" s="29" t="s">
        <v>287</v>
      </c>
      <c r="D49" s="9" t="s">
        <v>89</v>
      </c>
      <c r="E49" s="10" t="s">
        <v>24</v>
      </c>
      <c r="F49" s="11" t="s">
        <v>25</v>
      </c>
      <c r="G49" s="12">
        <v>2469602</v>
      </c>
      <c r="I49" s="32" t="s">
        <v>343</v>
      </c>
      <c r="J49" s="9" t="s">
        <v>176</v>
      </c>
      <c r="K49" s="10" t="s">
        <v>24</v>
      </c>
      <c r="L49" s="11" t="s">
        <v>25</v>
      </c>
      <c r="M49" s="34">
        <v>278762</v>
      </c>
      <c r="N49" s="12">
        <v>341</v>
      </c>
      <c r="O49" s="12">
        <v>377</v>
      </c>
      <c r="P49" s="12">
        <f t="shared" si="2"/>
        <v>95057842</v>
      </c>
      <c r="Q49" s="12">
        <f t="shared" si="3"/>
        <v>105093274</v>
      </c>
      <c r="R49" s="12"/>
    </row>
    <row r="50" spans="3:18" ht="15.75" customHeight="1" x14ac:dyDescent="0.25">
      <c r="C50" s="32" t="s">
        <v>343</v>
      </c>
      <c r="D50" s="9" t="s">
        <v>176</v>
      </c>
      <c r="E50" s="10" t="s">
        <v>24</v>
      </c>
      <c r="F50" s="11" t="s">
        <v>25</v>
      </c>
      <c r="G50" s="30">
        <v>251882</v>
      </c>
      <c r="I50" s="32" t="s">
        <v>344</v>
      </c>
      <c r="J50" s="9" t="s">
        <v>176</v>
      </c>
      <c r="K50" s="10" t="s">
        <v>24</v>
      </c>
      <c r="L50" s="11" t="s">
        <v>25</v>
      </c>
      <c r="M50" s="30">
        <v>295069</v>
      </c>
      <c r="N50" s="12">
        <v>746</v>
      </c>
      <c r="O50" s="12">
        <v>414</v>
      </c>
      <c r="P50" s="12">
        <f t="shared" si="2"/>
        <v>220121474</v>
      </c>
      <c r="Q50" s="12">
        <f t="shared" si="3"/>
        <v>122158566</v>
      </c>
      <c r="R50" s="12"/>
    </row>
    <row r="51" spans="3:18" ht="15.75" customHeight="1" x14ac:dyDescent="0.25">
      <c r="C51" s="32" t="s">
        <v>344</v>
      </c>
      <c r="D51" s="9" t="s">
        <v>176</v>
      </c>
      <c r="E51" s="10" t="s">
        <v>24</v>
      </c>
      <c r="F51" s="11" t="s">
        <v>25</v>
      </c>
      <c r="G51" s="30">
        <v>286217</v>
      </c>
      <c r="I51" s="8" t="s">
        <v>7</v>
      </c>
      <c r="J51" s="8"/>
      <c r="K51" s="8"/>
      <c r="L51" s="8"/>
      <c r="M51" s="12">
        <f>SUM(M36:M50)</f>
        <v>5589003</v>
      </c>
      <c r="N51" s="12"/>
      <c r="O51" s="12"/>
      <c r="P51" s="12">
        <f t="shared" si="2"/>
        <v>0</v>
      </c>
      <c r="Q51" s="12">
        <f t="shared" si="3"/>
        <v>0</v>
      </c>
      <c r="R51" s="12">
        <f>SUM(R36:R50)</f>
        <v>2660384820</v>
      </c>
    </row>
    <row r="52" spans="3:18" ht="15.75" customHeight="1" x14ac:dyDescent="0.25">
      <c r="C52" s="8" t="s">
        <v>7</v>
      </c>
      <c r="D52" s="8"/>
      <c r="E52" s="8"/>
      <c r="F52" s="8"/>
      <c r="G52" s="12">
        <f>SUM(G37:G51)</f>
        <v>5367839</v>
      </c>
    </row>
    <row r="53" spans="3:18" ht="15.75" customHeight="1" x14ac:dyDescent="0.25"/>
    <row r="54" spans="3:18" ht="15.75" customHeight="1" thickBot="1" x14ac:dyDescent="0.3"/>
    <row r="55" spans="3:18" ht="15.75" customHeight="1" thickBot="1" x14ac:dyDescent="0.3">
      <c r="C55" s="79" t="s">
        <v>339</v>
      </c>
      <c r="D55" s="80" t="s">
        <v>0</v>
      </c>
      <c r="E55" s="80" t="s">
        <v>514</v>
      </c>
      <c r="F55" s="80" t="s">
        <v>345</v>
      </c>
      <c r="G55" s="80" t="s">
        <v>346</v>
      </c>
      <c r="H55" s="80" t="s">
        <v>347</v>
      </c>
      <c r="I55" s="80" t="s">
        <v>348</v>
      </c>
      <c r="J55" s="80" t="s">
        <v>515</v>
      </c>
      <c r="K55" s="80" t="s">
        <v>517</v>
      </c>
      <c r="L55" s="80" t="s">
        <v>516</v>
      </c>
      <c r="N55" s="91" t="s">
        <v>521</v>
      </c>
      <c r="O55" s="83" t="s">
        <v>520</v>
      </c>
      <c r="P55" s="83" t="s">
        <v>519</v>
      </c>
      <c r="Q55" s="83" t="s">
        <v>518</v>
      </c>
      <c r="R55" s="83" t="s">
        <v>514</v>
      </c>
    </row>
    <row r="56" spans="3:18" ht="15.75" hidden="1" customHeight="1" thickBot="1" x14ac:dyDescent="0.3">
      <c r="C56" s="65" t="s">
        <v>87</v>
      </c>
      <c r="D56" s="47">
        <v>2021</v>
      </c>
      <c r="E56" s="48">
        <v>566856</v>
      </c>
      <c r="F56" s="61"/>
      <c r="G56" s="63">
        <v>615</v>
      </c>
      <c r="H56" s="48">
        <f>E56*F56</f>
        <v>0</v>
      </c>
      <c r="I56" s="48">
        <f>E56*G56</f>
        <v>348616440</v>
      </c>
      <c r="J56" s="48">
        <v>348616440</v>
      </c>
      <c r="K56" s="12">
        <v>593433</v>
      </c>
      <c r="L56" s="25">
        <f>K56*G56</f>
        <v>364961295</v>
      </c>
      <c r="N56" s="84" t="s">
        <v>87</v>
      </c>
      <c r="O56" s="85">
        <v>853645</v>
      </c>
      <c r="P56" s="85">
        <v>0</v>
      </c>
      <c r="Q56" s="85">
        <v>31970</v>
      </c>
      <c r="R56" s="86">
        <v>821676</v>
      </c>
    </row>
    <row r="57" spans="3:18" ht="15.75" hidden="1" customHeight="1" thickBot="1" x14ac:dyDescent="0.3">
      <c r="C57" s="65" t="s">
        <v>87</v>
      </c>
      <c r="D57" s="47">
        <v>2022</v>
      </c>
      <c r="E57" s="48">
        <v>853595</v>
      </c>
      <c r="F57" s="61"/>
      <c r="G57" s="63">
        <v>1171</v>
      </c>
      <c r="H57" s="48">
        <f t="shared" ref="H57:H91" si="4">E57*F57</f>
        <v>0</v>
      </c>
      <c r="I57" s="48">
        <f t="shared" ref="I57:I91" si="5">E57*G57</f>
        <v>999559745</v>
      </c>
      <c r="J57" s="48">
        <v>999559745</v>
      </c>
      <c r="K57" s="12">
        <v>886236</v>
      </c>
      <c r="L57" s="25">
        <f t="shared" ref="L57:L63" si="6">K57*G57</f>
        <v>1037782356</v>
      </c>
      <c r="N57" s="87" t="s">
        <v>107</v>
      </c>
      <c r="O57" s="88">
        <v>667918</v>
      </c>
      <c r="P57" s="88">
        <v>43300</v>
      </c>
      <c r="Q57" s="89">
        <v>0</v>
      </c>
      <c r="R57" s="90">
        <v>711218</v>
      </c>
    </row>
    <row r="58" spans="3:18" ht="15.75" hidden="1" customHeight="1" thickBot="1" x14ac:dyDescent="0.3">
      <c r="C58" s="65" t="s">
        <v>87</v>
      </c>
      <c r="D58" s="47">
        <v>2023</v>
      </c>
      <c r="E58" s="48">
        <v>761927</v>
      </c>
      <c r="F58" s="61"/>
      <c r="G58" s="63">
        <v>216</v>
      </c>
      <c r="H58" s="48">
        <f t="shared" si="4"/>
        <v>0</v>
      </c>
      <c r="I58" s="48">
        <f t="shared" si="5"/>
        <v>164576232</v>
      </c>
      <c r="J58" s="48">
        <v>164576232</v>
      </c>
      <c r="K58" s="12">
        <v>777865</v>
      </c>
      <c r="L58" s="25">
        <f t="shared" si="6"/>
        <v>168018840</v>
      </c>
    </row>
    <row r="59" spans="3:18" ht="15.75" customHeight="1" x14ac:dyDescent="0.25">
      <c r="C59" s="65" t="s">
        <v>87</v>
      </c>
      <c r="D59" s="47">
        <v>2024</v>
      </c>
      <c r="E59" s="48">
        <v>821676</v>
      </c>
      <c r="F59" s="61"/>
      <c r="G59" s="63">
        <v>323</v>
      </c>
      <c r="H59" s="48">
        <f t="shared" si="4"/>
        <v>0</v>
      </c>
      <c r="I59" s="48">
        <f t="shared" si="5"/>
        <v>265401348</v>
      </c>
      <c r="J59" s="48">
        <v>265401348</v>
      </c>
      <c r="K59" s="25">
        <v>853645</v>
      </c>
      <c r="L59" s="25">
        <f t="shared" si="6"/>
        <v>275727335</v>
      </c>
      <c r="N59" s="91" t="s">
        <v>521</v>
      </c>
      <c r="O59" s="83" t="s">
        <v>520</v>
      </c>
      <c r="P59" s="83" t="s">
        <v>519</v>
      </c>
      <c r="Q59" s="83" t="s">
        <v>518</v>
      </c>
      <c r="R59" s="83" t="s">
        <v>514</v>
      </c>
    </row>
    <row r="60" spans="3:18" ht="15.75" hidden="1" customHeight="1" x14ac:dyDescent="0.25">
      <c r="C60" s="65" t="s">
        <v>449</v>
      </c>
      <c r="D60" s="47">
        <v>2021</v>
      </c>
      <c r="E60" s="48">
        <v>188015</v>
      </c>
      <c r="F60" s="61"/>
      <c r="G60" s="61">
        <v>0</v>
      </c>
      <c r="H60" s="48">
        <f t="shared" si="4"/>
        <v>0</v>
      </c>
      <c r="I60" s="48">
        <f t="shared" si="5"/>
        <v>0</v>
      </c>
      <c r="J60" s="48"/>
      <c r="K60" s="12">
        <v>188015</v>
      </c>
      <c r="L60" s="25">
        <f t="shared" si="6"/>
        <v>0</v>
      </c>
      <c r="N60" s="84" t="s">
        <v>522</v>
      </c>
      <c r="O60" s="85">
        <v>182556</v>
      </c>
      <c r="P60" s="85">
        <v>9985</v>
      </c>
      <c r="Q60" s="85">
        <v>93187</v>
      </c>
      <c r="R60" s="86">
        <v>99354</v>
      </c>
    </row>
    <row r="61" spans="3:18" ht="15.75" hidden="1" customHeight="1" thickBot="1" x14ac:dyDescent="0.3">
      <c r="C61" s="65" t="s">
        <v>449</v>
      </c>
      <c r="D61" s="47">
        <v>2022</v>
      </c>
      <c r="E61" s="48">
        <v>201954</v>
      </c>
      <c r="F61" s="61"/>
      <c r="G61" s="61">
        <v>0</v>
      </c>
      <c r="H61" s="48">
        <f t="shared" si="4"/>
        <v>0</v>
      </c>
      <c r="I61" s="48">
        <f t="shared" si="5"/>
        <v>0</v>
      </c>
      <c r="J61" s="48"/>
      <c r="K61" s="12">
        <v>201954</v>
      </c>
      <c r="L61" s="25">
        <f t="shared" si="6"/>
        <v>0</v>
      </c>
      <c r="N61" s="87" t="s">
        <v>221</v>
      </c>
      <c r="O61" s="88">
        <v>1332417</v>
      </c>
      <c r="P61" s="88">
        <v>1081189</v>
      </c>
      <c r="Q61" s="89">
        <v>0</v>
      </c>
      <c r="R61" s="90">
        <v>2413559</v>
      </c>
    </row>
    <row r="62" spans="3:18" ht="15.75" hidden="1" customHeight="1" x14ac:dyDescent="0.25">
      <c r="C62" s="65" t="s">
        <v>449</v>
      </c>
      <c r="D62" s="47">
        <v>2023</v>
      </c>
      <c r="E62" s="48">
        <v>194769</v>
      </c>
      <c r="F62" s="61"/>
      <c r="G62" s="61">
        <v>0</v>
      </c>
      <c r="H62" s="48">
        <f t="shared" si="4"/>
        <v>0</v>
      </c>
      <c r="I62" s="48">
        <f t="shared" si="5"/>
        <v>0</v>
      </c>
      <c r="J62" s="48"/>
      <c r="K62" s="12">
        <v>194769</v>
      </c>
      <c r="L62" s="25">
        <f t="shared" si="6"/>
        <v>0</v>
      </c>
    </row>
    <row r="63" spans="3:18" ht="15.75" customHeight="1" x14ac:dyDescent="0.25">
      <c r="C63" s="65" t="s">
        <v>449</v>
      </c>
      <c r="D63" s="47">
        <v>2024</v>
      </c>
      <c r="E63" s="48">
        <v>183857</v>
      </c>
      <c r="F63" s="61"/>
      <c r="G63" s="61">
        <v>0</v>
      </c>
      <c r="H63" s="48">
        <f t="shared" si="4"/>
        <v>0</v>
      </c>
      <c r="I63" s="48">
        <f t="shared" si="5"/>
        <v>0</v>
      </c>
      <c r="J63" s="48"/>
      <c r="K63" s="25">
        <v>183857</v>
      </c>
      <c r="L63" s="25">
        <f t="shared" si="6"/>
        <v>0</v>
      </c>
    </row>
    <row r="64" spans="3:18" ht="15.75" hidden="1" customHeight="1" x14ac:dyDescent="0.25">
      <c r="C64" s="65" t="s">
        <v>167</v>
      </c>
      <c r="D64" s="47">
        <v>2021</v>
      </c>
      <c r="E64" s="48">
        <v>164823</v>
      </c>
      <c r="F64" s="61">
        <v>785</v>
      </c>
      <c r="G64" s="61"/>
      <c r="H64" s="48">
        <f t="shared" si="4"/>
        <v>129386055</v>
      </c>
      <c r="I64" s="48">
        <f t="shared" si="5"/>
        <v>0</v>
      </c>
      <c r="J64" s="48">
        <v>129386055</v>
      </c>
      <c r="K64" s="12">
        <v>144372</v>
      </c>
      <c r="L64" s="25">
        <f>K64*F64</f>
        <v>113332020</v>
      </c>
    </row>
    <row r="65" spans="3:12" ht="15.75" hidden="1" customHeight="1" x14ac:dyDescent="0.25">
      <c r="C65" s="65" t="s">
        <v>167</v>
      </c>
      <c r="D65" s="47">
        <v>2022</v>
      </c>
      <c r="E65" s="48">
        <v>170017</v>
      </c>
      <c r="F65" s="78">
        <v>27000</v>
      </c>
      <c r="G65" s="78"/>
      <c r="H65" s="78">
        <f t="shared" si="4"/>
        <v>4590459000</v>
      </c>
      <c r="I65" s="48">
        <f t="shared" si="5"/>
        <v>0</v>
      </c>
      <c r="J65" s="48"/>
      <c r="K65" s="12">
        <v>170017</v>
      </c>
      <c r="L65" s="25">
        <f t="shared" ref="L65:L71" si="7">K65*F65</f>
        <v>4590459000</v>
      </c>
    </row>
    <row r="66" spans="3:12" ht="15.75" hidden="1" customHeight="1" x14ac:dyDescent="0.25">
      <c r="C66" s="65" t="s">
        <v>167</v>
      </c>
      <c r="D66" s="47">
        <v>2023</v>
      </c>
      <c r="E66" s="48">
        <v>164124</v>
      </c>
      <c r="F66" s="78">
        <v>31732</v>
      </c>
      <c r="G66" s="78"/>
      <c r="H66" s="78">
        <f t="shared" si="4"/>
        <v>5207982768</v>
      </c>
      <c r="I66" s="48">
        <f t="shared" si="5"/>
        <v>0</v>
      </c>
      <c r="J66" s="48"/>
      <c r="K66" s="12">
        <v>164124</v>
      </c>
      <c r="L66" s="25">
        <f t="shared" si="7"/>
        <v>5207982768</v>
      </c>
    </row>
    <row r="67" spans="3:12" ht="15.75" customHeight="1" x14ac:dyDescent="0.25">
      <c r="C67" s="65" t="s">
        <v>167</v>
      </c>
      <c r="D67" s="47">
        <v>2024</v>
      </c>
      <c r="E67" s="48">
        <v>160508</v>
      </c>
      <c r="F67" s="78">
        <v>47700</v>
      </c>
      <c r="G67" s="78"/>
      <c r="H67" s="78">
        <f t="shared" si="4"/>
        <v>7656231600</v>
      </c>
      <c r="I67" s="48">
        <f t="shared" si="5"/>
        <v>0</v>
      </c>
      <c r="J67" s="48"/>
      <c r="K67" s="25">
        <v>160508</v>
      </c>
      <c r="L67" s="81">
        <f t="shared" si="7"/>
        <v>7656231600</v>
      </c>
    </row>
    <row r="68" spans="3:12" ht="15.75" hidden="1" customHeight="1" x14ac:dyDescent="0.25">
      <c r="C68" s="65" t="s">
        <v>107</v>
      </c>
      <c r="D68" s="47">
        <v>2021</v>
      </c>
      <c r="E68" s="48">
        <v>640928</v>
      </c>
      <c r="F68" s="78">
        <v>7000</v>
      </c>
      <c r="G68" s="78"/>
      <c r="H68" s="78">
        <f t="shared" si="4"/>
        <v>4486496000</v>
      </c>
      <c r="I68" s="48">
        <f t="shared" si="5"/>
        <v>0</v>
      </c>
      <c r="J68" s="48"/>
      <c r="K68" s="12">
        <v>649076</v>
      </c>
      <c r="L68" s="25">
        <f t="shared" si="7"/>
        <v>4543532000</v>
      </c>
    </row>
    <row r="69" spans="3:12" ht="15.75" hidden="1" customHeight="1" x14ac:dyDescent="0.25">
      <c r="C69" s="65" t="s">
        <v>107</v>
      </c>
      <c r="D69" s="47">
        <v>2022</v>
      </c>
      <c r="E69" s="48">
        <v>743301</v>
      </c>
      <c r="F69" s="61">
        <v>1373</v>
      </c>
      <c r="G69" s="61"/>
      <c r="H69" s="48">
        <f t="shared" si="4"/>
        <v>1020552273</v>
      </c>
      <c r="I69" s="48">
        <f t="shared" si="5"/>
        <v>0</v>
      </c>
      <c r="J69" s="48">
        <v>1020552273</v>
      </c>
      <c r="K69" s="12">
        <v>707675</v>
      </c>
      <c r="L69" s="25">
        <f t="shared" si="7"/>
        <v>971637775</v>
      </c>
    </row>
    <row r="70" spans="3:12" ht="15.75" hidden="1" customHeight="1" x14ac:dyDescent="0.25">
      <c r="C70" s="65" t="s">
        <v>107</v>
      </c>
      <c r="D70" s="47">
        <v>2023</v>
      </c>
      <c r="E70" s="48">
        <v>771258</v>
      </c>
      <c r="F70" s="61">
        <v>1043</v>
      </c>
      <c r="G70" s="61"/>
      <c r="H70" s="48">
        <f t="shared" si="4"/>
        <v>804422094</v>
      </c>
      <c r="I70" s="48">
        <f t="shared" si="5"/>
        <v>0</v>
      </c>
      <c r="J70" s="48">
        <v>804422094</v>
      </c>
      <c r="K70" s="12">
        <v>761850</v>
      </c>
      <c r="L70" s="25">
        <f t="shared" si="7"/>
        <v>794609550</v>
      </c>
    </row>
    <row r="71" spans="3:12" ht="15.75" customHeight="1" x14ac:dyDescent="0.25">
      <c r="C71" s="65" t="s">
        <v>107</v>
      </c>
      <c r="D71" s="47">
        <v>2024</v>
      </c>
      <c r="E71" s="48">
        <v>711218</v>
      </c>
      <c r="F71" s="61">
        <v>946</v>
      </c>
      <c r="G71" s="61"/>
      <c r="H71" s="48">
        <f t="shared" si="4"/>
        <v>672812228</v>
      </c>
      <c r="I71" s="48">
        <f t="shared" si="5"/>
        <v>0</v>
      </c>
      <c r="J71" s="48">
        <v>672812228</v>
      </c>
      <c r="K71" s="25">
        <v>667918</v>
      </c>
      <c r="L71" s="25">
        <f t="shared" si="7"/>
        <v>631850428</v>
      </c>
    </row>
    <row r="72" spans="3:12" ht="15.75" hidden="1" customHeight="1" x14ac:dyDescent="0.25">
      <c r="C72" s="65" t="s">
        <v>478</v>
      </c>
      <c r="D72" s="47">
        <v>2021</v>
      </c>
      <c r="E72" s="48">
        <v>159339</v>
      </c>
      <c r="F72" s="61">
        <v>1678</v>
      </c>
      <c r="G72" s="61">
        <v>1403</v>
      </c>
      <c r="H72" s="48">
        <f>E72*F72</f>
        <v>267370842</v>
      </c>
      <c r="I72" s="48">
        <f t="shared" si="5"/>
        <v>223552617</v>
      </c>
      <c r="J72" s="48">
        <v>223552617</v>
      </c>
      <c r="K72" s="12">
        <v>185740</v>
      </c>
      <c r="L72" s="25">
        <f>K72*G72</f>
        <v>260593220</v>
      </c>
    </row>
    <row r="73" spans="3:12" ht="15.75" hidden="1" customHeight="1" x14ac:dyDescent="0.25">
      <c r="C73" s="65" t="s">
        <v>478</v>
      </c>
      <c r="D73" s="47">
        <v>2022</v>
      </c>
      <c r="E73" s="48">
        <v>178369</v>
      </c>
      <c r="F73" s="61">
        <v>1872</v>
      </c>
      <c r="G73" s="61">
        <v>1210</v>
      </c>
      <c r="H73" s="48">
        <f t="shared" si="4"/>
        <v>333906768</v>
      </c>
      <c r="I73" s="48">
        <f t="shared" si="5"/>
        <v>215826490</v>
      </c>
      <c r="J73" s="48">
        <v>215826490</v>
      </c>
      <c r="K73" s="12">
        <v>203440</v>
      </c>
      <c r="L73" s="25">
        <f t="shared" ref="L73:L87" si="8">K73*G73</f>
        <v>246162400</v>
      </c>
    </row>
    <row r="74" spans="3:12" ht="15.75" hidden="1" customHeight="1" x14ac:dyDescent="0.25">
      <c r="C74" s="65" t="s">
        <v>478</v>
      </c>
      <c r="D74" s="47">
        <v>2023</v>
      </c>
      <c r="E74" s="48">
        <v>157173</v>
      </c>
      <c r="F74" s="61">
        <v>1779</v>
      </c>
      <c r="G74" s="61">
        <v>701</v>
      </c>
      <c r="H74" s="48">
        <f t="shared" si="4"/>
        <v>279610767</v>
      </c>
      <c r="I74" s="48">
        <f t="shared" si="5"/>
        <v>110178273</v>
      </c>
      <c r="J74" s="48">
        <v>110178273</v>
      </c>
      <c r="K74" s="12">
        <v>194865</v>
      </c>
      <c r="L74" s="25">
        <f t="shared" si="8"/>
        <v>136600365</v>
      </c>
    </row>
    <row r="75" spans="3:12" ht="15.75" customHeight="1" x14ac:dyDescent="0.25">
      <c r="C75" s="65" t="s">
        <v>478</v>
      </c>
      <c r="D75" s="47">
        <v>2024</v>
      </c>
      <c r="E75" s="48">
        <v>99354</v>
      </c>
      <c r="F75" s="61">
        <v>1677</v>
      </c>
      <c r="G75" s="61">
        <v>759</v>
      </c>
      <c r="H75" s="48">
        <f t="shared" si="4"/>
        <v>166616658</v>
      </c>
      <c r="I75" s="48">
        <f t="shared" si="5"/>
        <v>75409686</v>
      </c>
      <c r="J75" s="48">
        <v>75409686</v>
      </c>
      <c r="K75" s="25">
        <v>182556</v>
      </c>
      <c r="L75" s="25">
        <f t="shared" si="8"/>
        <v>138560004</v>
      </c>
    </row>
    <row r="76" spans="3:12" ht="15.75" hidden="1" customHeight="1" x14ac:dyDescent="0.25">
      <c r="C76" s="65" t="s">
        <v>482</v>
      </c>
      <c r="D76" s="47">
        <v>2021</v>
      </c>
      <c r="E76" s="48">
        <v>251651</v>
      </c>
      <c r="F76" s="61">
        <v>1706</v>
      </c>
      <c r="G76" s="61">
        <v>1516</v>
      </c>
      <c r="H76" s="48">
        <f t="shared" si="4"/>
        <v>429316606</v>
      </c>
      <c r="I76" s="48">
        <f t="shared" si="5"/>
        <v>381502916</v>
      </c>
      <c r="J76" s="48">
        <v>381502916</v>
      </c>
      <c r="K76" s="12">
        <v>250126</v>
      </c>
      <c r="L76" s="25">
        <f t="shared" si="8"/>
        <v>379191016</v>
      </c>
    </row>
    <row r="77" spans="3:12" ht="15.75" hidden="1" customHeight="1" x14ac:dyDescent="0.25">
      <c r="C77" s="65" t="s">
        <v>482</v>
      </c>
      <c r="D77" s="47">
        <v>2022</v>
      </c>
      <c r="E77" s="48">
        <v>294626</v>
      </c>
      <c r="F77" s="61">
        <v>1852</v>
      </c>
      <c r="G77" s="61">
        <v>1613</v>
      </c>
      <c r="H77" s="48">
        <f t="shared" si="4"/>
        <v>545647352</v>
      </c>
      <c r="I77" s="48">
        <f t="shared" si="5"/>
        <v>475231738</v>
      </c>
      <c r="J77" s="48">
        <v>475231738</v>
      </c>
      <c r="K77" s="12">
        <v>276054</v>
      </c>
      <c r="L77" s="25">
        <f t="shared" si="8"/>
        <v>445275102</v>
      </c>
    </row>
    <row r="78" spans="3:12" ht="15.75" hidden="1" customHeight="1" x14ac:dyDescent="0.25">
      <c r="C78" s="65" t="s">
        <v>482</v>
      </c>
      <c r="D78" s="47">
        <v>2023</v>
      </c>
      <c r="E78" s="48">
        <v>283399</v>
      </c>
      <c r="F78" s="61">
        <v>1694</v>
      </c>
      <c r="G78" s="61">
        <v>1130</v>
      </c>
      <c r="H78" s="48">
        <f t="shared" si="4"/>
        <v>480077906</v>
      </c>
      <c r="I78" s="48">
        <f t="shared" si="5"/>
        <v>320240870</v>
      </c>
      <c r="J78" s="48">
        <v>320240870</v>
      </c>
      <c r="K78" s="12">
        <v>283406</v>
      </c>
      <c r="L78" s="25">
        <f t="shared" si="8"/>
        <v>320248780</v>
      </c>
    </row>
    <row r="79" spans="3:12" ht="15.75" customHeight="1" x14ac:dyDescent="0.25">
      <c r="C79" s="65" t="s">
        <v>482</v>
      </c>
      <c r="D79" s="47">
        <v>2024</v>
      </c>
      <c r="E79" s="48">
        <v>214373</v>
      </c>
      <c r="F79" s="61">
        <v>1489</v>
      </c>
      <c r="G79" s="61">
        <v>1202</v>
      </c>
      <c r="H79" s="48">
        <f t="shared" si="4"/>
        <v>319201397</v>
      </c>
      <c r="I79" s="48">
        <f t="shared" si="5"/>
        <v>257676346</v>
      </c>
      <c r="J79" s="48">
        <v>257676346</v>
      </c>
      <c r="K79" s="25">
        <v>250701</v>
      </c>
      <c r="L79" s="25">
        <f t="shared" si="8"/>
        <v>301342602</v>
      </c>
    </row>
    <row r="80" spans="3:12" ht="15.75" hidden="1" customHeight="1" x14ac:dyDescent="0.25">
      <c r="C80" s="65" t="s">
        <v>483</v>
      </c>
      <c r="D80" s="47">
        <v>2021</v>
      </c>
      <c r="E80" s="48">
        <v>138440</v>
      </c>
      <c r="F80" s="61">
        <v>1841</v>
      </c>
      <c r="G80" s="61">
        <v>1641</v>
      </c>
      <c r="H80" s="48">
        <f t="shared" si="4"/>
        <v>254868040</v>
      </c>
      <c r="I80" s="48">
        <f t="shared" si="5"/>
        <v>227180040</v>
      </c>
      <c r="J80" s="48">
        <v>227180040</v>
      </c>
      <c r="K80" s="12">
        <v>80509</v>
      </c>
      <c r="L80" s="25">
        <f t="shared" si="8"/>
        <v>132115269</v>
      </c>
    </row>
    <row r="81" spans="2:12" ht="15.75" hidden="1" customHeight="1" x14ac:dyDescent="0.25">
      <c r="C81" s="65" t="s">
        <v>483</v>
      </c>
      <c r="D81" s="47">
        <v>2022</v>
      </c>
      <c r="E81" s="48">
        <v>162019</v>
      </c>
      <c r="F81" s="61">
        <v>1992</v>
      </c>
      <c r="G81" s="61">
        <v>1723</v>
      </c>
      <c r="H81" s="48">
        <f t="shared" si="4"/>
        <v>322741848</v>
      </c>
      <c r="I81" s="48">
        <f t="shared" si="5"/>
        <v>279158737</v>
      </c>
      <c r="J81" s="48">
        <v>279158737</v>
      </c>
      <c r="K81" s="12">
        <v>88874</v>
      </c>
      <c r="L81" s="25">
        <f t="shared" si="8"/>
        <v>153129902</v>
      </c>
    </row>
    <row r="82" spans="2:12" ht="15.75" hidden="1" customHeight="1" x14ac:dyDescent="0.25">
      <c r="C82" s="65" t="s">
        <v>483</v>
      </c>
      <c r="D82" s="47">
        <v>2023</v>
      </c>
      <c r="E82" s="48">
        <v>154303</v>
      </c>
      <c r="F82" s="61">
        <v>1605</v>
      </c>
      <c r="G82" s="61">
        <v>1161</v>
      </c>
      <c r="H82" s="48">
        <f t="shared" si="4"/>
        <v>247656315</v>
      </c>
      <c r="I82" s="48">
        <f t="shared" si="5"/>
        <v>179145783</v>
      </c>
      <c r="J82" s="48">
        <v>179145783</v>
      </c>
      <c r="K82" s="12">
        <v>95641</v>
      </c>
      <c r="L82" s="25">
        <f t="shared" si="8"/>
        <v>111039201</v>
      </c>
    </row>
    <row r="83" spans="2:12" ht="15.75" customHeight="1" x14ac:dyDescent="0.25">
      <c r="C83" s="65" t="s">
        <v>483</v>
      </c>
      <c r="D83" s="47">
        <v>2024</v>
      </c>
      <c r="E83" s="48">
        <v>192114</v>
      </c>
      <c r="F83" s="61">
        <v>1439</v>
      </c>
      <c r="G83" s="61">
        <v>1185</v>
      </c>
      <c r="H83" s="48">
        <f t="shared" si="4"/>
        <v>276452046</v>
      </c>
      <c r="I83" s="48">
        <f t="shared" si="5"/>
        <v>227655090</v>
      </c>
      <c r="J83" s="48">
        <v>227655090</v>
      </c>
      <c r="K83" s="25">
        <v>93802</v>
      </c>
      <c r="L83" s="25">
        <f t="shared" si="8"/>
        <v>111155370</v>
      </c>
    </row>
    <row r="84" spans="2:12" ht="15.75" hidden="1" customHeight="1" x14ac:dyDescent="0.25">
      <c r="C84" s="65" t="s">
        <v>484</v>
      </c>
      <c r="D84" s="47">
        <v>2021</v>
      </c>
      <c r="E84" s="48">
        <v>250086</v>
      </c>
      <c r="F84" s="61">
        <v>1646</v>
      </c>
      <c r="G84" s="64">
        <v>1564</v>
      </c>
      <c r="H84" s="48">
        <f t="shared" si="4"/>
        <v>411641556</v>
      </c>
      <c r="I84" s="48">
        <f t="shared" si="5"/>
        <v>391134504</v>
      </c>
      <c r="J84" s="48">
        <v>391134504</v>
      </c>
      <c r="K84" s="12">
        <v>219141</v>
      </c>
      <c r="L84" s="25">
        <f t="shared" si="8"/>
        <v>342736524</v>
      </c>
    </row>
    <row r="85" spans="2:12" ht="15.75" hidden="1" customHeight="1" x14ac:dyDescent="0.25">
      <c r="C85" s="65" t="s">
        <v>484</v>
      </c>
      <c r="D85" s="47">
        <v>2022</v>
      </c>
      <c r="E85" s="48">
        <v>283045</v>
      </c>
      <c r="F85" s="61">
        <v>1895</v>
      </c>
      <c r="G85" s="64">
        <v>1665</v>
      </c>
      <c r="H85" s="48">
        <f t="shared" si="4"/>
        <v>536370275</v>
      </c>
      <c r="I85" s="48">
        <f t="shared" si="5"/>
        <v>471269925</v>
      </c>
      <c r="J85" s="48">
        <v>471269925</v>
      </c>
      <c r="K85" s="12">
        <v>271714</v>
      </c>
      <c r="L85" s="25">
        <f t="shared" si="8"/>
        <v>452403810</v>
      </c>
    </row>
    <row r="86" spans="2:12" ht="15.75" hidden="1" customHeight="1" x14ac:dyDescent="0.25">
      <c r="C86" s="65" t="s">
        <v>484</v>
      </c>
      <c r="D86" s="47">
        <v>2023</v>
      </c>
      <c r="E86" s="48">
        <v>333740</v>
      </c>
      <c r="F86" s="61">
        <v>1619</v>
      </c>
      <c r="G86" s="64">
        <v>1155</v>
      </c>
      <c r="H86" s="48">
        <f t="shared" si="4"/>
        <v>540325060</v>
      </c>
      <c r="I86" s="48">
        <f t="shared" si="5"/>
        <v>385469700</v>
      </c>
      <c r="J86" s="48">
        <v>385469700</v>
      </c>
      <c r="K86" s="12">
        <v>301835</v>
      </c>
      <c r="L86" s="25">
        <f t="shared" si="8"/>
        <v>348619425</v>
      </c>
    </row>
    <row r="87" spans="2:12" ht="15.75" customHeight="1" x14ac:dyDescent="0.25">
      <c r="C87" s="65" t="s">
        <v>484</v>
      </c>
      <c r="D87" s="47">
        <v>2024</v>
      </c>
      <c r="E87" s="48">
        <v>218513</v>
      </c>
      <c r="F87" s="61">
        <v>1508</v>
      </c>
      <c r="G87" s="64">
        <v>1140</v>
      </c>
      <c r="H87" s="48">
        <f t="shared" si="4"/>
        <v>329517604</v>
      </c>
      <c r="I87" s="48">
        <f t="shared" si="5"/>
        <v>249104820</v>
      </c>
      <c r="J87" s="48">
        <v>249104820</v>
      </c>
      <c r="K87" s="25">
        <v>274288</v>
      </c>
      <c r="L87" s="25">
        <f t="shared" si="8"/>
        <v>312688320</v>
      </c>
    </row>
    <row r="88" spans="2:12" ht="15.75" hidden="1" customHeight="1" x14ac:dyDescent="0.25">
      <c r="C88" s="65" t="s">
        <v>221</v>
      </c>
      <c r="D88" s="47">
        <v>2021</v>
      </c>
      <c r="E88" s="48">
        <v>2469602</v>
      </c>
      <c r="F88" s="61">
        <v>470</v>
      </c>
      <c r="G88" s="61"/>
      <c r="H88" s="48">
        <f t="shared" si="4"/>
        <v>1160712940</v>
      </c>
      <c r="I88" s="48">
        <f t="shared" si="5"/>
        <v>0</v>
      </c>
      <c r="J88" s="48">
        <v>1160712940</v>
      </c>
      <c r="K88" s="12">
        <v>918708</v>
      </c>
      <c r="L88" s="25">
        <f>K88*F88</f>
        <v>431792760</v>
      </c>
    </row>
    <row r="89" spans="2:12" ht="15.75" hidden="1" customHeight="1" x14ac:dyDescent="0.25">
      <c r="C89" s="65" t="s">
        <v>221</v>
      </c>
      <c r="D89" s="47">
        <v>2022</v>
      </c>
      <c r="E89" s="48">
        <v>2267575</v>
      </c>
      <c r="F89" s="61">
        <v>814</v>
      </c>
      <c r="G89" s="61">
        <v>532</v>
      </c>
      <c r="H89" s="48">
        <f t="shared" si="4"/>
        <v>1845806050</v>
      </c>
      <c r="I89" s="48">
        <f t="shared" si="5"/>
        <v>1206349900</v>
      </c>
      <c r="J89" s="48">
        <v>1206349900</v>
      </c>
      <c r="K89" s="12">
        <v>1377821</v>
      </c>
      <c r="L89" s="25">
        <f>K89*G89</f>
        <v>733000772</v>
      </c>
    </row>
    <row r="90" spans="2:12" ht="15.75" hidden="1" customHeight="1" x14ac:dyDescent="0.25">
      <c r="C90" s="65" t="s">
        <v>221</v>
      </c>
      <c r="D90" s="47">
        <v>2023</v>
      </c>
      <c r="E90" s="48">
        <v>2044244</v>
      </c>
      <c r="F90" s="61">
        <v>411</v>
      </c>
      <c r="G90" s="61">
        <v>492</v>
      </c>
      <c r="H90" s="48">
        <f t="shared" si="4"/>
        <v>840184284</v>
      </c>
      <c r="I90" s="48">
        <f t="shared" si="5"/>
        <v>1005768048</v>
      </c>
      <c r="J90" s="48">
        <v>1005768048</v>
      </c>
      <c r="K90" s="12">
        <v>1220079</v>
      </c>
      <c r="L90" s="25">
        <f>K90*G90</f>
        <v>600278868</v>
      </c>
    </row>
    <row r="91" spans="2:12" ht="15.75" customHeight="1" x14ac:dyDescent="0.25">
      <c r="C91" s="65" t="s">
        <v>221</v>
      </c>
      <c r="D91" s="47">
        <v>2024</v>
      </c>
      <c r="E91" s="48">
        <v>2413559</v>
      </c>
      <c r="F91" s="61">
        <v>378</v>
      </c>
      <c r="G91" s="61"/>
      <c r="H91" s="48">
        <f t="shared" si="4"/>
        <v>912325302</v>
      </c>
      <c r="I91" s="48">
        <f t="shared" si="5"/>
        <v>0</v>
      </c>
      <c r="J91" s="48">
        <v>912325302</v>
      </c>
      <c r="K91" s="25">
        <v>1332417</v>
      </c>
      <c r="L91" s="25">
        <f>K91*F91</f>
        <v>503653626</v>
      </c>
    </row>
    <row r="92" spans="2:12" ht="15.75" customHeight="1" thickBot="1" x14ac:dyDescent="0.3">
      <c r="B92" s="82"/>
    </row>
    <row r="93" spans="2:12" ht="15.75" customHeight="1" x14ac:dyDescent="0.25"/>
    <row r="94" spans="2:12" ht="15.75" customHeight="1" x14ac:dyDescent="0.25"/>
    <row r="95" spans="2:12" ht="15.75" customHeight="1" x14ac:dyDescent="0.25"/>
    <row r="96" spans="2:1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mergeCells count="7">
    <mergeCell ref="C35:G35"/>
    <mergeCell ref="I34:R34"/>
    <mergeCell ref="Q1:V1"/>
    <mergeCell ref="C3:J3"/>
    <mergeCell ref="L3:N3"/>
    <mergeCell ref="C17:J17"/>
    <mergeCell ref="C34:G34"/>
  </mergeCells>
  <phoneticPr fontId="13" type="noConversion"/>
  <pageMargins left="0.7" right="0.7" top="0.75" bottom="0.75" header="0" footer="0"/>
  <pageSetup paperSize="9" orientation="portrait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AD982"/>
  <sheetViews>
    <sheetView tabSelected="1" topLeftCell="A16" zoomScale="85" zoomScaleNormal="85" workbookViewId="0">
      <selection activeCell="H46" sqref="H46"/>
    </sheetView>
  </sheetViews>
  <sheetFormatPr baseColWidth="10" defaultColWidth="14.42578125" defaultRowHeight="15" customHeight="1" x14ac:dyDescent="0.25"/>
  <cols>
    <col min="1" max="2" width="10.7109375" customWidth="1"/>
    <col min="3" max="3" width="9.140625" customWidth="1"/>
    <col min="4" max="4" width="45.140625" bestFit="1" customWidth="1"/>
    <col min="5" max="5" width="21.140625" customWidth="1"/>
    <col min="6" max="6" width="12" customWidth="1"/>
    <col min="7" max="7" width="12.7109375" bestFit="1" customWidth="1"/>
    <col min="8" max="8" width="16" customWidth="1"/>
    <col min="9" max="9" width="13.85546875" customWidth="1"/>
    <col min="10" max="10" width="11.42578125" customWidth="1"/>
    <col min="11" max="11" width="10.7109375" customWidth="1"/>
    <col min="12" max="12" width="11.140625" bestFit="1" customWidth="1"/>
    <col min="13" max="13" width="9.140625" customWidth="1"/>
    <col min="14" max="14" width="15.5703125" customWidth="1"/>
    <col min="15" max="15" width="15.85546875" customWidth="1"/>
    <col min="16" max="16" width="17" customWidth="1"/>
    <col min="17" max="19" width="10.7109375" customWidth="1"/>
    <col min="20" max="21" width="12.7109375" bestFit="1" customWidth="1"/>
    <col min="22" max="22" width="13.42578125" bestFit="1" customWidth="1"/>
    <col min="23" max="23" width="19" bestFit="1" customWidth="1"/>
    <col min="24" max="24" width="10.7109375" customWidth="1"/>
    <col min="25" max="25" width="11.42578125" customWidth="1"/>
    <col min="26" max="26" width="12" customWidth="1"/>
    <col min="27" max="27" width="16" customWidth="1"/>
    <col min="28" max="28" width="16.42578125" customWidth="1"/>
    <col min="29" max="29" width="17.7109375" customWidth="1"/>
    <col min="30" max="30" width="17.85546875" customWidth="1"/>
  </cols>
  <sheetData>
    <row r="1" spans="4:30" ht="15" customHeight="1" x14ac:dyDescent="0.25">
      <c r="T1" s="74"/>
    </row>
    <row r="2" spans="4:30" x14ac:dyDescent="0.25">
      <c r="D2" s="105" t="s">
        <v>350</v>
      </c>
      <c r="E2" s="106"/>
      <c r="F2" s="106"/>
      <c r="G2" s="106"/>
      <c r="H2" s="106"/>
      <c r="I2" s="106"/>
      <c r="J2" s="106"/>
      <c r="K2" s="107"/>
      <c r="M2" s="105" t="s">
        <v>351</v>
      </c>
      <c r="N2" s="106"/>
      <c r="O2" s="106"/>
      <c r="P2" s="106"/>
      <c r="Q2" s="107"/>
      <c r="T2" s="112" t="s">
        <v>501</v>
      </c>
      <c r="U2" s="106"/>
      <c r="V2" s="106"/>
      <c r="W2" s="106"/>
    </row>
    <row r="3" spans="4:30" x14ac:dyDescent="0.25">
      <c r="D3" s="24" t="s">
        <v>0</v>
      </c>
      <c r="E3" s="24" t="s">
        <v>333</v>
      </c>
      <c r="F3" s="24" t="s">
        <v>2</v>
      </c>
      <c r="G3" s="24" t="s">
        <v>334</v>
      </c>
      <c r="H3" s="24" t="s">
        <v>4</v>
      </c>
      <c r="I3" s="24" t="s">
        <v>335</v>
      </c>
      <c r="J3" s="24" t="s">
        <v>6</v>
      </c>
      <c r="K3" s="24" t="s">
        <v>7</v>
      </c>
      <c r="M3" s="24" t="s">
        <v>0</v>
      </c>
      <c r="N3" s="24" t="s">
        <v>333</v>
      </c>
      <c r="O3" s="24" t="s">
        <v>334</v>
      </c>
      <c r="P3" s="24" t="s">
        <v>335</v>
      </c>
      <c r="Q3" s="24" t="s">
        <v>7</v>
      </c>
      <c r="T3" s="75" t="s">
        <v>0</v>
      </c>
      <c r="U3" s="75" t="s">
        <v>499</v>
      </c>
      <c r="V3" s="75" t="s">
        <v>500</v>
      </c>
      <c r="W3" s="75" t="s">
        <v>498</v>
      </c>
    </row>
    <row r="4" spans="4:30" x14ac:dyDescent="0.25">
      <c r="D4" s="19">
        <v>2015</v>
      </c>
      <c r="E4" s="12">
        <v>50400</v>
      </c>
      <c r="F4" s="19">
        <v>3</v>
      </c>
      <c r="G4" s="12">
        <v>410300</v>
      </c>
      <c r="H4" s="19">
        <v>24.2</v>
      </c>
      <c r="I4" s="12">
        <v>1237000</v>
      </c>
      <c r="J4" s="19">
        <v>72.8</v>
      </c>
      <c r="K4" s="12">
        <v>1697700</v>
      </c>
      <c r="M4" s="19">
        <v>2015</v>
      </c>
      <c r="N4" s="25">
        <f>E18-'Impo y Expo'!$E4</f>
        <v>207600</v>
      </c>
      <c r="O4" s="25">
        <f>G18-'Impo y Expo'!$G4</f>
        <v>-320900</v>
      </c>
      <c r="P4" s="25">
        <f>I18-'Impo y Expo'!$I4</f>
        <v>-717700</v>
      </c>
      <c r="Q4" s="25">
        <f>K18-'Impo y Expo'!$K4</f>
        <v>-831000</v>
      </c>
      <c r="T4" s="76">
        <v>2021</v>
      </c>
      <c r="U4" s="77">
        <f>SUMIF(Tabla28[AÑO], "2021",Tabla28[Valuacion Impo])/1000000</f>
        <v>3849.8030829999998</v>
      </c>
      <c r="V4" s="77">
        <f>SUMIF(Tabla28[AÑO], "2021",Tabla28[Valuacion Expo])/1000000</f>
        <v>849.62506499999995</v>
      </c>
      <c r="W4" s="77">
        <f>V4-U4</f>
        <v>-3000.1780179999996</v>
      </c>
    </row>
    <row r="5" spans="4:30" x14ac:dyDescent="0.25">
      <c r="D5" s="19">
        <v>2016</v>
      </c>
      <c r="E5" s="12">
        <v>58500</v>
      </c>
      <c r="F5" s="19">
        <v>3</v>
      </c>
      <c r="G5" s="12">
        <v>363000</v>
      </c>
      <c r="H5" s="19">
        <v>18.399999999999999</v>
      </c>
      <c r="I5" s="12">
        <v>1554000</v>
      </c>
      <c r="J5" s="19">
        <v>78.599999999999994</v>
      </c>
      <c r="K5" s="12">
        <v>1975500</v>
      </c>
      <c r="M5" s="19">
        <v>2016</v>
      </c>
      <c r="N5" s="25">
        <f>E19-'Impo y Expo'!$E5</f>
        <v>89300</v>
      </c>
      <c r="O5" s="25">
        <f>G19-'Impo y Expo'!$G5</f>
        <v>-261900</v>
      </c>
      <c r="P5" s="25">
        <f>I19-'Impo y Expo'!$I5</f>
        <v>-863500</v>
      </c>
      <c r="Q5" s="25">
        <f>K19-'Impo y Expo'!$K5</f>
        <v>-1036100</v>
      </c>
      <c r="T5" s="76">
        <v>2022</v>
      </c>
      <c r="U5" s="77">
        <f>SUMIF(Tabla28[AÑO], "2022",Tabla28[Valuacion Impo])/1000000</f>
        <v>4660.8765679999997</v>
      </c>
      <c r="V5" s="77">
        <f>SUMIF(Tabla28[AÑO], "2022",Tabla28[Valuacion Expo])/1000000</f>
        <v>942.035394</v>
      </c>
      <c r="W5" s="77">
        <f t="shared" ref="W5:W7" si="0">V5-U5</f>
        <v>-3718.8411739999997</v>
      </c>
    </row>
    <row r="6" spans="4:30" x14ac:dyDescent="0.25">
      <c r="D6" s="19">
        <v>2017</v>
      </c>
      <c r="E6" s="12">
        <v>122500</v>
      </c>
      <c r="F6" s="19">
        <v>6.3</v>
      </c>
      <c r="G6" s="12">
        <v>371700</v>
      </c>
      <c r="H6" s="19">
        <v>19.100000000000001</v>
      </c>
      <c r="I6" s="12">
        <v>1447500</v>
      </c>
      <c r="J6" s="19">
        <v>74.599999999999994</v>
      </c>
      <c r="K6" s="12">
        <v>1941700</v>
      </c>
      <c r="M6" s="19">
        <v>2017</v>
      </c>
      <c r="N6" s="25">
        <f>E20-'Impo y Expo'!$E6</f>
        <v>-66200</v>
      </c>
      <c r="O6" s="25">
        <f>G20-'Impo y Expo'!$G6</f>
        <v>-292600</v>
      </c>
      <c r="P6" s="25">
        <f>I20-'Impo y Expo'!$I6</f>
        <v>-841300</v>
      </c>
      <c r="Q6" s="25">
        <f>K20-'Impo y Expo'!$K6</f>
        <v>-1200100</v>
      </c>
      <c r="T6" s="76">
        <v>2023</v>
      </c>
      <c r="U6" s="77">
        <f>SUMIF(Tabla28[AÑO], "2023",Tabla28[Valuacion Impo])/1000000</f>
        <v>3008.2547060000002</v>
      </c>
      <c r="V6" s="77">
        <f>SUMIF(Tabla28[AÑO], "2023",Tabla28[Valuacion Expo])/1000000</f>
        <v>629.08204499999999</v>
      </c>
      <c r="W6" s="77">
        <f t="shared" si="0"/>
        <v>-2379.1726610000001</v>
      </c>
    </row>
    <row r="7" spans="4:30" x14ac:dyDescent="0.25">
      <c r="D7" s="19">
        <v>2018</v>
      </c>
      <c r="E7" s="12">
        <v>45200</v>
      </c>
      <c r="F7" s="19">
        <v>2</v>
      </c>
      <c r="G7" s="12">
        <v>365600</v>
      </c>
      <c r="H7" s="19">
        <v>16.3</v>
      </c>
      <c r="I7" s="12">
        <v>1837600</v>
      </c>
      <c r="J7" s="19">
        <v>81.7</v>
      </c>
      <c r="K7" s="12">
        <v>2248400</v>
      </c>
      <c r="M7" s="19">
        <v>2018</v>
      </c>
      <c r="N7" s="25">
        <f>E21-'Impo y Expo'!$E7</f>
        <v>103500</v>
      </c>
      <c r="O7" s="25">
        <f>G21-'Impo y Expo'!$G7</f>
        <v>-300800</v>
      </c>
      <c r="P7" s="25">
        <f>I21-'Impo y Expo'!$I7</f>
        <v>-1134500</v>
      </c>
      <c r="Q7" s="25">
        <f>K21-'Impo y Expo'!$K7</f>
        <v>-1331800</v>
      </c>
      <c r="T7" s="76">
        <v>2024</v>
      </c>
      <c r="U7" s="77">
        <f>SUMIF(Tabla28[AÑO], "2024",Tabla28[Valuacion Impo])/1000000</f>
        <v>2711.1955210000001</v>
      </c>
      <c r="V7" s="77">
        <f>SUMIF(Tabla28[AÑO], "2024",Tabla28[Valuacion Expo])/1000000</f>
        <v>910.82527600000003</v>
      </c>
      <c r="W7" s="77">
        <f t="shared" si="0"/>
        <v>-1800.3702450000001</v>
      </c>
    </row>
    <row r="8" spans="4:30" x14ac:dyDescent="0.25">
      <c r="D8" s="19">
        <v>2019</v>
      </c>
      <c r="E8" s="12">
        <v>97900</v>
      </c>
      <c r="F8" s="19">
        <v>4.0999999999999996</v>
      </c>
      <c r="G8" s="12">
        <v>327200</v>
      </c>
      <c r="H8" s="19">
        <v>13.8</v>
      </c>
      <c r="I8" s="12">
        <v>1955100</v>
      </c>
      <c r="J8" s="19">
        <v>82.1</v>
      </c>
      <c r="K8" s="12">
        <v>2380200</v>
      </c>
      <c r="M8" s="19">
        <v>2019</v>
      </c>
      <c r="N8" s="25">
        <f>E22-'Impo y Expo'!$E8</f>
        <v>81600</v>
      </c>
      <c r="O8" s="25">
        <f>G22-'Impo y Expo'!$G8</f>
        <v>-263800</v>
      </c>
      <c r="P8" s="25">
        <f>I22-'Impo y Expo'!$I8</f>
        <v>-1303000</v>
      </c>
      <c r="Q8" s="25">
        <f>K22-'Impo y Expo'!$K8</f>
        <v>-1485200</v>
      </c>
    </row>
    <row r="9" spans="4:30" x14ac:dyDescent="0.25">
      <c r="D9" s="19">
        <v>2020</v>
      </c>
      <c r="E9" s="12">
        <v>112200</v>
      </c>
      <c r="F9" s="19">
        <v>4.0999999999999996</v>
      </c>
      <c r="G9" s="12">
        <v>334500</v>
      </c>
      <c r="H9" s="19">
        <v>12.2</v>
      </c>
      <c r="I9" s="12">
        <v>2299600</v>
      </c>
      <c r="J9" s="19">
        <v>83.7</v>
      </c>
      <c r="K9" s="12">
        <v>2746300</v>
      </c>
      <c r="M9" s="19">
        <v>2020</v>
      </c>
      <c r="N9" s="25">
        <f>E23-'Impo y Expo'!$E9</f>
        <v>25700</v>
      </c>
      <c r="O9" s="25">
        <f>G23-'Impo y Expo'!$G9</f>
        <v>-298300</v>
      </c>
      <c r="P9" s="25">
        <f>I23-'Impo y Expo'!$I9</f>
        <v>-1755700</v>
      </c>
      <c r="Q9" s="25">
        <f>K23-'Impo y Expo'!$K9</f>
        <v>-2028300</v>
      </c>
    </row>
    <row r="10" spans="4:30" x14ac:dyDescent="0.25">
      <c r="D10" s="19">
        <v>2021</v>
      </c>
      <c r="E10" s="12">
        <v>44400</v>
      </c>
      <c r="F10" s="19">
        <v>1.3</v>
      </c>
      <c r="G10" s="12">
        <v>410900</v>
      </c>
      <c r="H10" s="19">
        <v>12.6</v>
      </c>
      <c r="I10" s="12">
        <v>2814700</v>
      </c>
      <c r="J10" s="19">
        <v>86.1</v>
      </c>
      <c r="K10" s="12">
        <v>3270000</v>
      </c>
      <c r="M10" s="19">
        <v>2021</v>
      </c>
      <c r="N10" s="25">
        <f>E24-'Impo y Expo'!$E10</f>
        <v>117000</v>
      </c>
      <c r="O10" s="25">
        <f>G24-'Impo y Expo'!$G10</f>
        <v>-383100</v>
      </c>
      <c r="P10" s="25">
        <f>I24-'Impo y Expo'!$I10</f>
        <v>-2322200</v>
      </c>
      <c r="Q10" s="25">
        <f>K24-'Impo y Expo'!$K10</f>
        <v>-2588300</v>
      </c>
    </row>
    <row r="11" spans="4:30" x14ac:dyDescent="0.25">
      <c r="D11" s="19">
        <v>2022</v>
      </c>
      <c r="E11" s="12">
        <v>82300</v>
      </c>
      <c r="F11" s="19">
        <v>3.3</v>
      </c>
      <c r="G11" s="12">
        <v>401800</v>
      </c>
      <c r="H11" s="19">
        <v>16.3</v>
      </c>
      <c r="I11" s="12">
        <v>1990200</v>
      </c>
      <c r="J11" s="19">
        <v>80.400000000000006</v>
      </c>
      <c r="K11" s="12">
        <v>2474300</v>
      </c>
      <c r="M11" s="19">
        <v>2022</v>
      </c>
      <c r="N11" s="25">
        <f>E25-'Impo y Expo'!$E11</f>
        <v>-1900</v>
      </c>
      <c r="O11" s="25">
        <f>G25-'Impo y Expo'!$G11</f>
        <v>-374500</v>
      </c>
      <c r="P11" s="25">
        <f>I25-'Impo y Expo'!$I11</f>
        <v>-1477900</v>
      </c>
      <c r="Q11" s="25">
        <f>K25-'Impo y Expo'!$K11</f>
        <v>-1854300</v>
      </c>
      <c r="T11" s="117" t="s">
        <v>355</v>
      </c>
      <c r="U11" s="109"/>
      <c r="V11" s="109"/>
      <c r="W11" s="109"/>
      <c r="X11" s="110"/>
      <c r="AA11" s="117" t="s">
        <v>354</v>
      </c>
      <c r="AB11" s="117"/>
      <c r="AC11" s="117"/>
      <c r="AD11" s="117"/>
    </row>
    <row r="12" spans="4:30" x14ac:dyDescent="0.25">
      <c r="D12" s="19">
        <v>2023</v>
      </c>
      <c r="E12" s="12">
        <v>43400</v>
      </c>
      <c r="F12" s="19">
        <v>2</v>
      </c>
      <c r="G12" s="12">
        <v>364500</v>
      </c>
      <c r="H12" s="19">
        <v>16.399999999999999</v>
      </c>
      <c r="I12" s="12">
        <v>1811400</v>
      </c>
      <c r="J12" s="19">
        <v>81.599999999999994</v>
      </c>
      <c r="K12" s="12">
        <v>2219300</v>
      </c>
      <c r="M12" s="19">
        <v>2023</v>
      </c>
      <c r="N12" s="25">
        <f>E26-'Impo y Expo'!$E12</f>
        <v>163900</v>
      </c>
      <c r="O12" s="25">
        <f>G26-'Impo y Expo'!$G12</f>
        <v>-349700</v>
      </c>
      <c r="P12" s="25">
        <f>I26-'Impo y Expo'!$I12</f>
        <v>-1374800</v>
      </c>
      <c r="Q12" s="25">
        <f>K26-'Impo y Expo'!$K12</f>
        <v>-1560600</v>
      </c>
    </row>
    <row r="13" spans="4:30" x14ac:dyDescent="0.25">
      <c r="D13" s="19">
        <v>2024</v>
      </c>
      <c r="E13" s="12">
        <v>72100</v>
      </c>
      <c r="F13" s="19">
        <v>3.1</v>
      </c>
      <c r="G13" s="12">
        <v>232500</v>
      </c>
      <c r="H13" s="19">
        <v>10</v>
      </c>
      <c r="I13" s="12">
        <v>2013300</v>
      </c>
      <c r="J13" s="19">
        <v>86.9</v>
      </c>
      <c r="K13" s="12">
        <v>2317900</v>
      </c>
      <c r="M13" s="19">
        <v>2024</v>
      </c>
      <c r="N13" s="25">
        <f>E27-'Impo y Expo'!$E13</f>
        <v>228600</v>
      </c>
      <c r="O13" s="25">
        <f>G27-'Impo y Expo'!$G13</f>
        <v>-210200</v>
      </c>
      <c r="P13" s="25">
        <f>I27-'Impo y Expo'!$I13</f>
        <v>-1395900</v>
      </c>
      <c r="Q13" s="25">
        <f>K27-'Impo y Expo'!$K13</f>
        <v>-1377500</v>
      </c>
    </row>
    <row r="16" spans="4:30" x14ac:dyDescent="0.25">
      <c r="D16" s="105" t="s">
        <v>352</v>
      </c>
      <c r="E16" s="106"/>
      <c r="F16" s="106"/>
      <c r="G16" s="106"/>
      <c r="H16" s="106"/>
      <c r="I16" s="106"/>
      <c r="J16" s="106"/>
      <c r="K16" s="107"/>
      <c r="M16" s="105" t="s">
        <v>353</v>
      </c>
      <c r="N16" s="106"/>
      <c r="O16" s="106"/>
      <c r="P16" s="107"/>
    </row>
    <row r="17" spans="4:30" x14ac:dyDescent="0.25">
      <c r="D17" s="24" t="s">
        <v>0</v>
      </c>
      <c r="E17" s="24" t="s">
        <v>333</v>
      </c>
      <c r="F17" s="24" t="s">
        <v>2</v>
      </c>
      <c r="G17" s="24" t="s">
        <v>334</v>
      </c>
      <c r="H17" s="24" t="s">
        <v>4</v>
      </c>
      <c r="I17" s="24" t="s">
        <v>335</v>
      </c>
      <c r="J17" s="24" t="s">
        <v>6</v>
      </c>
      <c r="K17" s="24" t="s">
        <v>7</v>
      </c>
      <c r="M17" s="24" t="s">
        <v>0</v>
      </c>
      <c r="N17" s="16" t="s">
        <v>352</v>
      </c>
      <c r="O17" s="16" t="s">
        <v>350</v>
      </c>
      <c r="P17" s="16" t="s">
        <v>351</v>
      </c>
    </row>
    <row r="18" spans="4:30" x14ac:dyDescent="0.25">
      <c r="D18" s="19">
        <v>2015</v>
      </c>
      <c r="E18" s="12">
        <v>258000</v>
      </c>
      <c r="F18" s="19">
        <v>29.8</v>
      </c>
      <c r="G18" s="12">
        <v>89400</v>
      </c>
      <c r="H18" s="19">
        <v>10.3</v>
      </c>
      <c r="I18" s="12">
        <v>519300</v>
      </c>
      <c r="J18" s="19">
        <v>59.9</v>
      </c>
      <c r="K18" s="12">
        <v>866700</v>
      </c>
      <c r="M18" s="19">
        <v>2015</v>
      </c>
      <c r="N18" s="35">
        <f>'Impo y Expo'!$K18/1000000</f>
        <v>0.86670000000000003</v>
      </c>
      <c r="O18" s="35">
        <f t="shared" ref="O18:O27" si="1">K4/1000000</f>
        <v>1.6977</v>
      </c>
      <c r="P18" s="35">
        <f t="shared" ref="P18:P27" si="2">Q4/1000000</f>
        <v>-0.83099999999999996</v>
      </c>
    </row>
    <row r="19" spans="4:30" x14ac:dyDescent="0.25">
      <c r="D19" s="19">
        <v>2016</v>
      </c>
      <c r="E19" s="12">
        <v>147800</v>
      </c>
      <c r="F19" s="19">
        <v>15.7</v>
      </c>
      <c r="G19" s="12">
        <v>101100</v>
      </c>
      <c r="H19" s="19">
        <v>10.8</v>
      </c>
      <c r="I19" s="12">
        <v>690500</v>
      </c>
      <c r="J19" s="19">
        <v>73.5</v>
      </c>
      <c r="K19" s="12">
        <v>939400</v>
      </c>
      <c r="M19" s="19">
        <v>2016</v>
      </c>
      <c r="N19" s="35">
        <f>'Impo y Expo'!$K19/1000000</f>
        <v>0.93940000000000001</v>
      </c>
      <c r="O19" s="35">
        <f t="shared" si="1"/>
        <v>1.9755</v>
      </c>
      <c r="P19" s="35">
        <f t="shared" si="2"/>
        <v>-1.0361</v>
      </c>
    </row>
    <row r="20" spans="4:30" x14ac:dyDescent="0.25">
      <c r="D20" s="19">
        <v>2017</v>
      </c>
      <c r="E20" s="12">
        <v>56300</v>
      </c>
      <c r="F20" s="19">
        <v>7.6</v>
      </c>
      <c r="G20" s="12">
        <v>79100</v>
      </c>
      <c r="H20" s="19">
        <v>10.7</v>
      </c>
      <c r="I20" s="12">
        <v>606200</v>
      </c>
      <c r="J20" s="19">
        <v>81.7</v>
      </c>
      <c r="K20" s="12">
        <v>741600</v>
      </c>
      <c r="M20" s="19">
        <v>2017</v>
      </c>
      <c r="N20" s="35">
        <f>'Impo y Expo'!$K20/1000000</f>
        <v>0.74160000000000004</v>
      </c>
      <c r="O20" s="35">
        <f t="shared" si="1"/>
        <v>1.9417</v>
      </c>
      <c r="P20" s="35">
        <f t="shared" si="2"/>
        <v>-1.2000999999999999</v>
      </c>
    </row>
    <row r="21" spans="4:30" ht="15.75" customHeight="1" x14ac:dyDescent="0.25">
      <c r="D21" s="19">
        <v>2018</v>
      </c>
      <c r="E21" s="12">
        <v>148700</v>
      </c>
      <c r="F21" s="19">
        <v>16.2</v>
      </c>
      <c r="G21" s="12">
        <v>64800</v>
      </c>
      <c r="H21" s="19">
        <v>7.1</v>
      </c>
      <c r="I21" s="12">
        <v>703100</v>
      </c>
      <c r="J21" s="19">
        <v>76.7</v>
      </c>
      <c r="K21" s="12">
        <v>916600</v>
      </c>
      <c r="M21" s="19">
        <v>2018</v>
      </c>
      <c r="N21" s="35">
        <f>'Impo y Expo'!$K21/1000000</f>
        <v>0.91659999999999997</v>
      </c>
      <c r="O21" s="35">
        <f t="shared" si="1"/>
        <v>2.2484000000000002</v>
      </c>
      <c r="P21" s="35">
        <f t="shared" si="2"/>
        <v>-1.3318000000000001</v>
      </c>
    </row>
    <row r="22" spans="4:30" ht="15.75" customHeight="1" x14ac:dyDescent="0.25">
      <c r="D22" s="19">
        <v>2019</v>
      </c>
      <c r="E22" s="12">
        <v>179500</v>
      </c>
      <c r="F22" s="19">
        <v>20</v>
      </c>
      <c r="G22" s="12">
        <v>63400</v>
      </c>
      <c r="H22" s="19">
        <v>7.1</v>
      </c>
      <c r="I22" s="12">
        <v>652100</v>
      </c>
      <c r="J22" s="19">
        <v>72.900000000000006</v>
      </c>
      <c r="K22" s="12">
        <v>895000</v>
      </c>
      <c r="M22" s="19">
        <v>2019</v>
      </c>
      <c r="N22" s="35">
        <f>'Impo y Expo'!$K22/1000000</f>
        <v>0.89500000000000002</v>
      </c>
      <c r="O22" s="35">
        <f t="shared" si="1"/>
        <v>2.3801999999999999</v>
      </c>
      <c r="P22" s="35">
        <f t="shared" si="2"/>
        <v>-1.4852000000000001</v>
      </c>
    </row>
    <row r="23" spans="4:30" ht="15.75" customHeight="1" x14ac:dyDescent="0.25">
      <c r="D23" s="19">
        <v>2020</v>
      </c>
      <c r="E23" s="12">
        <v>137900</v>
      </c>
      <c r="F23" s="19">
        <v>19.2</v>
      </c>
      <c r="G23" s="12">
        <v>36200</v>
      </c>
      <c r="H23" s="19">
        <v>5</v>
      </c>
      <c r="I23" s="12">
        <v>543900</v>
      </c>
      <c r="J23" s="19">
        <v>75.8</v>
      </c>
      <c r="K23" s="12">
        <v>718000</v>
      </c>
      <c r="M23" s="19">
        <v>2020</v>
      </c>
      <c r="N23" s="35">
        <f>'Impo y Expo'!$K23/1000000</f>
        <v>0.71799999999999997</v>
      </c>
      <c r="O23" s="35">
        <f t="shared" si="1"/>
        <v>2.7463000000000002</v>
      </c>
      <c r="P23" s="35">
        <f t="shared" si="2"/>
        <v>-2.0283000000000002</v>
      </c>
    </row>
    <row r="24" spans="4:30" ht="15.75" customHeight="1" x14ac:dyDescent="0.25">
      <c r="D24" s="19">
        <v>2021</v>
      </c>
      <c r="E24" s="12">
        <v>161400</v>
      </c>
      <c r="F24" s="19">
        <v>23.7</v>
      </c>
      <c r="G24" s="12">
        <v>27800</v>
      </c>
      <c r="H24" s="19">
        <v>4.0999999999999996</v>
      </c>
      <c r="I24" s="12">
        <v>492500</v>
      </c>
      <c r="J24" s="19">
        <v>72.2</v>
      </c>
      <c r="K24" s="12">
        <v>681700</v>
      </c>
      <c r="M24" s="19">
        <v>2021</v>
      </c>
      <c r="N24" s="35">
        <f>'Impo y Expo'!$K24/1000000</f>
        <v>0.68169999999999997</v>
      </c>
      <c r="O24" s="35">
        <f t="shared" si="1"/>
        <v>3.27</v>
      </c>
      <c r="P24" s="35">
        <f t="shared" si="2"/>
        <v>-2.5882999999999998</v>
      </c>
    </row>
    <row r="25" spans="4:30" ht="15.75" customHeight="1" x14ac:dyDescent="0.25">
      <c r="D25" s="19">
        <v>2022</v>
      </c>
      <c r="E25" s="12">
        <v>80400</v>
      </c>
      <c r="F25" s="19">
        <v>13</v>
      </c>
      <c r="G25" s="12">
        <v>27300</v>
      </c>
      <c r="H25" s="19">
        <v>4.4000000000000004</v>
      </c>
      <c r="I25" s="12">
        <v>512300</v>
      </c>
      <c r="J25" s="19">
        <v>82.6</v>
      </c>
      <c r="K25" s="12">
        <v>620000</v>
      </c>
      <c r="M25" s="19">
        <v>2022</v>
      </c>
      <c r="N25" s="35">
        <f>'Impo y Expo'!$K25/1000000</f>
        <v>0.62</v>
      </c>
      <c r="O25" s="35">
        <f t="shared" si="1"/>
        <v>2.4742999999999999</v>
      </c>
      <c r="P25" s="35">
        <f t="shared" si="2"/>
        <v>-1.8543000000000001</v>
      </c>
    </row>
    <row r="26" spans="4:30" ht="15.75" customHeight="1" x14ac:dyDescent="0.25">
      <c r="D26" s="19">
        <v>2023</v>
      </c>
      <c r="E26" s="12">
        <v>207300</v>
      </c>
      <c r="F26" s="19">
        <v>31.5</v>
      </c>
      <c r="G26" s="12">
        <v>14800</v>
      </c>
      <c r="H26" s="19">
        <v>2.2000000000000002</v>
      </c>
      <c r="I26" s="12">
        <v>436600</v>
      </c>
      <c r="J26" s="19">
        <v>66.3</v>
      </c>
      <c r="K26" s="12">
        <v>658700</v>
      </c>
      <c r="M26" s="19">
        <v>2023</v>
      </c>
      <c r="N26" s="35">
        <f>'Impo y Expo'!$K26/1000000</f>
        <v>0.65869999999999995</v>
      </c>
      <c r="O26" s="35">
        <f t="shared" si="1"/>
        <v>2.2193000000000001</v>
      </c>
      <c r="P26" s="35">
        <f t="shared" si="2"/>
        <v>-1.5606</v>
      </c>
    </row>
    <row r="27" spans="4:30" ht="15.75" customHeight="1" x14ac:dyDescent="0.25">
      <c r="D27" s="19">
        <v>2024</v>
      </c>
      <c r="E27" s="12">
        <v>300700</v>
      </c>
      <c r="F27" s="19">
        <v>32</v>
      </c>
      <c r="G27" s="12">
        <v>22300</v>
      </c>
      <c r="H27" s="19">
        <v>2.4</v>
      </c>
      <c r="I27" s="12">
        <v>617400</v>
      </c>
      <c r="J27" s="19">
        <v>65.599999999999994</v>
      </c>
      <c r="K27" s="12">
        <v>940400</v>
      </c>
      <c r="M27" s="19">
        <v>2024</v>
      </c>
      <c r="N27" s="35">
        <f>'Impo y Expo'!$K27/1000000</f>
        <v>0.94040000000000001</v>
      </c>
      <c r="O27" s="35">
        <f t="shared" si="1"/>
        <v>2.3178999999999998</v>
      </c>
      <c r="P27" s="35">
        <f t="shared" si="2"/>
        <v>-1.3774999999999999</v>
      </c>
    </row>
    <row r="28" spans="4:30" ht="15.75" customHeight="1" x14ac:dyDescent="0.25"/>
    <row r="29" spans="4:30" ht="15.75" customHeight="1" x14ac:dyDescent="0.25"/>
    <row r="30" spans="4:30" ht="15.75" customHeight="1" x14ac:dyDescent="0.25">
      <c r="N30" s="118" t="s">
        <v>407</v>
      </c>
      <c r="O30" s="119"/>
      <c r="P30" s="119"/>
      <c r="Q30" s="119"/>
      <c r="R30" s="119"/>
      <c r="S30" s="119"/>
      <c r="T30" s="119"/>
      <c r="U30" s="120"/>
      <c r="W30" s="67" t="s">
        <v>339</v>
      </c>
      <c r="X30" s="68" t="s">
        <v>408</v>
      </c>
      <c r="Y30" s="68" t="s">
        <v>409</v>
      </c>
      <c r="Z30" s="68" t="s">
        <v>410</v>
      </c>
      <c r="AA30" s="68" t="s">
        <v>411</v>
      </c>
      <c r="AB30" s="68" t="s">
        <v>412</v>
      </c>
      <c r="AC30" s="68" t="s">
        <v>413</v>
      </c>
      <c r="AD30" s="69" t="s">
        <v>414</v>
      </c>
    </row>
    <row r="31" spans="4:30" ht="15.75" customHeight="1" x14ac:dyDescent="0.25">
      <c r="D31" s="105" t="s">
        <v>356</v>
      </c>
      <c r="E31" s="106"/>
      <c r="F31" s="106"/>
      <c r="G31" s="107"/>
      <c r="I31" s="105" t="s">
        <v>357</v>
      </c>
      <c r="J31" s="106"/>
      <c r="K31" s="106"/>
      <c r="L31" s="107"/>
      <c r="N31" s="45" t="s">
        <v>13</v>
      </c>
      <c r="O31" s="45" t="s">
        <v>17</v>
      </c>
      <c r="P31" s="45" t="s">
        <v>352</v>
      </c>
      <c r="Q31" s="45" t="s">
        <v>350</v>
      </c>
      <c r="R31" s="45" t="s">
        <v>346</v>
      </c>
      <c r="S31" s="45" t="s">
        <v>345</v>
      </c>
      <c r="T31" s="58" t="s">
        <v>405</v>
      </c>
      <c r="U31" s="58" t="s">
        <v>406</v>
      </c>
      <c r="W31" s="65" t="s">
        <v>23</v>
      </c>
      <c r="X31" s="47">
        <v>2021</v>
      </c>
      <c r="Y31" s="61">
        <v>10785</v>
      </c>
      <c r="Z31" s="62">
        <v>8</v>
      </c>
      <c r="AA31" s="61">
        <v>2835</v>
      </c>
      <c r="AB31" s="61"/>
      <c r="AC31" s="61">
        <f>Y31*AA31</f>
        <v>30575475</v>
      </c>
      <c r="AD31" s="66">
        <f>Z31*AB31</f>
        <v>0</v>
      </c>
    </row>
    <row r="32" spans="4:30" ht="15.75" customHeight="1" x14ac:dyDescent="0.25">
      <c r="D32" s="36" t="s">
        <v>339</v>
      </c>
      <c r="E32" s="36" t="s">
        <v>358</v>
      </c>
      <c r="F32" s="36" t="s">
        <v>346</v>
      </c>
      <c r="G32" s="36" t="s">
        <v>349</v>
      </c>
      <c r="I32" s="36" t="s">
        <v>339</v>
      </c>
      <c r="J32" s="36" t="s">
        <v>358</v>
      </c>
      <c r="K32" s="36" t="s">
        <v>345</v>
      </c>
      <c r="L32" s="36" t="s">
        <v>349</v>
      </c>
      <c r="N32" s="46" t="s">
        <v>23</v>
      </c>
      <c r="O32" s="46" t="s">
        <v>402</v>
      </c>
      <c r="P32" s="47"/>
      <c r="Q32" s="48">
        <v>5166</v>
      </c>
      <c r="R32" s="47"/>
      <c r="S32" s="48">
        <v>2606</v>
      </c>
      <c r="T32" s="48">
        <f t="shared" ref="T32:U95" si="3">P32*R32</f>
        <v>0</v>
      </c>
      <c r="U32" s="48">
        <f>Q32*S32</f>
        <v>13462596</v>
      </c>
      <c r="W32" s="65" t="s">
        <v>23</v>
      </c>
      <c r="X32" s="47">
        <v>2022</v>
      </c>
      <c r="Y32" s="61">
        <v>10025</v>
      </c>
      <c r="Z32" s="62"/>
      <c r="AA32" s="61">
        <v>3074</v>
      </c>
      <c r="AB32" s="61"/>
      <c r="AC32" s="61">
        <f t="shared" ref="AC32:AD46" si="4">Y32*AA32</f>
        <v>30816850</v>
      </c>
      <c r="AD32" s="66">
        <f t="shared" si="4"/>
        <v>0</v>
      </c>
    </row>
    <row r="33" spans="4:30" ht="15.75" customHeight="1" x14ac:dyDescent="0.25">
      <c r="D33" s="8" t="s">
        <v>85</v>
      </c>
      <c r="E33" s="25">
        <v>31970</v>
      </c>
      <c r="F33" s="12">
        <v>323</v>
      </c>
      <c r="G33" s="25">
        <f>'Impo y Expo'!$E33*'Impo y Expo'!$F33</f>
        <v>10326310</v>
      </c>
      <c r="I33" s="8" t="s">
        <v>85</v>
      </c>
      <c r="J33" s="25">
        <v>0</v>
      </c>
      <c r="K33" s="12"/>
      <c r="L33" s="25">
        <f>'Impo y Expo'!$J33*'Impo y Expo'!$K33</f>
        <v>0</v>
      </c>
      <c r="N33" s="49" t="s">
        <v>26</v>
      </c>
      <c r="O33" s="49" t="s">
        <v>53</v>
      </c>
      <c r="P33" s="50"/>
      <c r="Q33" s="50"/>
      <c r="R33" s="50"/>
      <c r="S33" s="50"/>
      <c r="T33" s="48">
        <f t="shared" si="3"/>
        <v>0</v>
      </c>
      <c r="U33" s="48">
        <f t="shared" si="3"/>
        <v>0</v>
      </c>
      <c r="W33" s="65" t="s">
        <v>23</v>
      </c>
      <c r="X33" s="47">
        <v>2023</v>
      </c>
      <c r="Y33" s="61">
        <v>9147</v>
      </c>
      <c r="Z33" s="62"/>
      <c r="AA33" s="61">
        <v>2510</v>
      </c>
      <c r="AB33" s="61"/>
      <c r="AC33" s="61">
        <f t="shared" si="4"/>
        <v>22958970</v>
      </c>
      <c r="AD33" s="66">
        <f t="shared" si="4"/>
        <v>0</v>
      </c>
    </row>
    <row r="34" spans="4:30" ht="15.75" customHeight="1" x14ac:dyDescent="0.25">
      <c r="D34" s="8" t="s">
        <v>175</v>
      </c>
      <c r="E34" s="8">
        <v>0</v>
      </c>
      <c r="F34" s="8"/>
      <c r="G34" s="8">
        <f>'Impo y Expo'!$E34*'Impo y Expo'!$F34</f>
        <v>0</v>
      </c>
      <c r="I34" s="8" t="s">
        <v>175</v>
      </c>
      <c r="J34" s="8">
        <v>0</v>
      </c>
      <c r="K34" s="8"/>
      <c r="L34" s="8">
        <f>'Impo y Expo'!$J34*'Impo y Expo'!$K34</f>
        <v>0</v>
      </c>
      <c r="N34" s="46" t="s">
        <v>31</v>
      </c>
      <c r="O34" s="46" t="s">
        <v>402</v>
      </c>
      <c r="P34" s="47"/>
      <c r="Q34" s="48">
        <v>2072</v>
      </c>
      <c r="R34" s="47"/>
      <c r="S34" s="48">
        <v>1541</v>
      </c>
      <c r="T34" s="48">
        <f t="shared" si="3"/>
        <v>0</v>
      </c>
      <c r="U34" s="48">
        <f t="shared" si="3"/>
        <v>3192952</v>
      </c>
      <c r="W34" s="65" t="s">
        <v>23</v>
      </c>
      <c r="X34" s="47">
        <v>2024</v>
      </c>
      <c r="Y34" s="61">
        <v>5166</v>
      </c>
      <c r="Z34" s="62">
        <v>2</v>
      </c>
      <c r="AA34" s="61">
        <v>2606</v>
      </c>
      <c r="AB34" s="61"/>
      <c r="AC34" s="61">
        <f t="shared" si="4"/>
        <v>13462596</v>
      </c>
      <c r="AD34" s="66">
        <f t="shared" si="4"/>
        <v>0</v>
      </c>
    </row>
    <row r="35" spans="4:30" ht="15.75" customHeight="1" x14ac:dyDescent="0.25">
      <c r="D35" s="8" t="s">
        <v>193</v>
      </c>
      <c r="E35" s="8">
        <v>0</v>
      </c>
      <c r="F35" s="8"/>
      <c r="G35" s="8">
        <f>'Impo y Expo'!$E35*'Impo y Expo'!$F35</f>
        <v>0</v>
      </c>
      <c r="I35" s="8" t="s">
        <v>193</v>
      </c>
      <c r="J35" s="8">
        <v>0</v>
      </c>
      <c r="K35" s="8"/>
      <c r="L35" s="8">
        <f>'Impo y Expo'!$J35*'Impo y Expo'!$K35</f>
        <v>0</v>
      </c>
      <c r="N35" s="46" t="s">
        <v>34</v>
      </c>
      <c r="O35" s="46" t="s">
        <v>402</v>
      </c>
      <c r="P35" s="47"/>
      <c r="Q35" s="48">
        <v>10682</v>
      </c>
      <c r="R35" s="47"/>
      <c r="S35" s="48">
        <v>1243</v>
      </c>
      <c r="T35" s="48">
        <f t="shared" si="3"/>
        <v>0</v>
      </c>
      <c r="U35" s="48">
        <f t="shared" si="3"/>
        <v>13277726</v>
      </c>
      <c r="W35" s="65" t="s">
        <v>88</v>
      </c>
      <c r="X35" s="47">
        <v>2021</v>
      </c>
      <c r="Y35" s="61"/>
      <c r="Z35" s="62"/>
      <c r="AA35" s="61"/>
      <c r="AB35" s="61"/>
      <c r="AC35" s="61">
        <f t="shared" si="4"/>
        <v>0</v>
      </c>
      <c r="AD35" s="66">
        <f t="shared" si="4"/>
        <v>0</v>
      </c>
    </row>
    <row r="36" spans="4:30" ht="15.75" customHeight="1" x14ac:dyDescent="0.25">
      <c r="D36" s="8" t="s">
        <v>223</v>
      </c>
      <c r="E36" s="8">
        <v>0</v>
      </c>
      <c r="F36" s="8"/>
      <c r="G36" s="8">
        <f>'Impo y Expo'!$E36*'Impo y Expo'!$F36</f>
        <v>0</v>
      </c>
      <c r="I36" s="8" t="s">
        <v>223</v>
      </c>
      <c r="J36" s="25">
        <v>43300</v>
      </c>
      <c r="K36" s="8">
        <v>946</v>
      </c>
      <c r="L36" s="8">
        <f>'Impo y Expo'!$J36*'Impo y Expo'!$K36</f>
        <v>40961800</v>
      </c>
      <c r="N36" s="46" t="s">
        <v>37</v>
      </c>
      <c r="O36" s="46" t="s">
        <v>53</v>
      </c>
      <c r="P36" s="47"/>
      <c r="Q36" s="48">
        <v>3336</v>
      </c>
      <c r="R36" s="47"/>
      <c r="S36" s="48">
        <v>1354</v>
      </c>
      <c r="T36" s="48">
        <f t="shared" si="3"/>
        <v>0</v>
      </c>
      <c r="U36" s="48">
        <f t="shared" si="3"/>
        <v>4516944</v>
      </c>
      <c r="W36" s="65" t="s">
        <v>88</v>
      </c>
      <c r="X36" s="47">
        <v>2022</v>
      </c>
      <c r="Y36" s="61"/>
      <c r="Z36" s="62"/>
      <c r="AA36" s="61"/>
      <c r="AB36" s="61"/>
      <c r="AC36" s="61">
        <f t="shared" si="4"/>
        <v>0</v>
      </c>
      <c r="AD36" s="66">
        <f t="shared" si="4"/>
        <v>0</v>
      </c>
    </row>
    <row r="37" spans="4:30" ht="15.75" customHeight="1" x14ac:dyDescent="0.25">
      <c r="D37" s="8" t="s">
        <v>259</v>
      </c>
      <c r="E37" s="25">
        <v>93187</v>
      </c>
      <c r="F37" s="12">
        <v>759</v>
      </c>
      <c r="G37" s="25">
        <f>'Impo y Expo'!$E37*'Impo y Expo'!$F37</f>
        <v>70728933</v>
      </c>
      <c r="I37" s="8" t="s">
        <v>259</v>
      </c>
      <c r="J37" s="25">
        <v>9985</v>
      </c>
      <c r="K37" s="12">
        <v>1677</v>
      </c>
      <c r="L37" s="25">
        <f>'Impo y Expo'!$J37*'Impo y Expo'!$K37</f>
        <v>16744845</v>
      </c>
      <c r="N37" s="46" t="s">
        <v>40</v>
      </c>
      <c r="O37" s="46" t="s">
        <v>53</v>
      </c>
      <c r="P37" s="47"/>
      <c r="Q37" s="48">
        <v>3346</v>
      </c>
      <c r="R37" s="47"/>
      <c r="S37" s="48">
        <v>1514</v>
      </c>
      <c r="T37" s="48">
        <f t="shared" si="3"/>
        <v>0</v>
      </c>
      <c r="U37" s="48">
        <f t="shared" si="3"/>
        <v>5065844</v>
      </c>
      <c r="W37" s="65" t="s">
        <v>88</v>
      </c>
      <c r="X37" s="47">
        <v>2023</v>
      </c>
      <c r="Y37" s="61">
        <v>1</v>
      </c>
      <c r="Z37" s="62"/>
      <c r="AA37" s="61"/>
      <c r="AB37" s="61"/>
      <c r="AC37" s="61">
        <f t="shared" si="4"/>
        <v>0</v>
      </c>
      <c r="AD37" s="66">
        <f t="shared" si="4"/>
        <v>0</v>
      </c>
    </row>
    <row r="38" spans="4:30" ht="15.75" customHeight="1" x14ac:dyDescent="0.25">
      <c r="D38" s="8" t="s">
        <v>265</v>
      </c>
      <c r="E38" s="25">
        <v>125319</v>
      </c>
      <c r="F38" s="12">
        <v>1202</v>
      </c>
      <c r="G38" s="25">
        <f>'Impo y Expo'!$E38*'Impo y Expo'!$F38</f>
        <v>150633438</v>
      </c>
      <c r="I38" s="8" t="s">
        <v>265</v>
      </c>
      <c r="J38" s="25">
        <v>88991</v>
      </c>
      <c r="K38" s="12">
        <v>1489</v>
      </c>
      <c r="L38" s="25">
        <f>'Impo y Expo'!$J38*'Impo y Expo'!$K38</f>
        <v>132507599</v>
      </c>
      <c r="N38" s="51" t="s">
        <v>45</v>
      </c>
      <c r="O38" s="51" t="s">
        <v>53</v>
      </c>
      <c r="P38" s="52"/>
      <c r="Q38" s="52"/>
      <c r="R38" s="52"/>
      <c r="S38" s="52"/>
      <c r="T38" s="48">
        <f t="shared" si="3"/>
        <v>0</v>
      </c>
      <c r="U38" s="48">
        <f t="shared" si="3"/>
        <v>0</v>
      </c>
      <c r="W38" s="65" t="s">
        <v>88</v>
      </c>
      <c r="X38" s="47">
        <v>2024</v>
      </c>
      <c r="Y38" s="61">
        <v>5</v>
      </c>
      <c r="Z38" s="62"/>
      <c r="AA38" s="61"/>
      <c r="AB38" s="61"/>
      <c r="AC38" s="61">
        <f t="shared" si="4"/>
        <v>0</v>
      </c>
      <c r="AD38" s="66">
        <f t="shared" si="4"/>
        <v>0</v>
      </c>
    </row>
    <row r="39" spans="4:30" ht="15.75" customHeight="1" x14ac:dyDescent="0.25">
      <c r="D39" s="8" t="s">
        <v>266</v>
      </c>
      <c r="E39" s="25">
        <v>27511</v>
      </c>
      <c r="F39" s="12">
        <v>1185</v>
      </c>
      <c r="G39" s="25">
        <f>'Impo y Expo'!$E39*'Impo y Expo'!$F39</f>
        <v>32600535</v>
      </c>
      <c r="I39" s="8" t="s">
        <v>266</v>
      </c>
      <c r="J39" s="25">
        <v>125823</v>
      </c>
      <c r="K39" s="12">
        <v>1439</v>
      </c>
      <c r="L39" s="25">
        <f>'Impo y Expo'!$J39*'Impo y Expo'!$K39</f>
        <v>181059297</v>
      </c>
      <c r="N39" s="46" t="s">
        <v>45</v>
      </c>
      <c r="O39" s="46" t="s">
        <v>53</v>
      </c>
      <c r="P39" s="47">
        <v>232</v>
      </c>
      <c r="Q39" s="48">
        <v>5664</v>
      </c>
      <c r="R39" s="48">
        <v>1964</v>
      </c>
      <c r="S39" s="47">
        <v>900</v>
      </c>
      <c r="T39" s="48">
        <f t="shared" si="3"/>
        <v>455648</v>
      </c>
      <c r="U39" s="48">
        <f t="shared" si="3"/>
        <v>5097600</v>
      </c>
      <c r="W39" s="65" t="s">
        <v>415</v>
      </c>
      <c r="X39" s="47">
        <v>2021</v>
      </c>
      <c r="Y39" s="61">
        <v>2924</v>
      </c>
      <c r="Z39" s="62"/>
      <c r="AA39" s="61">
        <v>1885</v>
      </c>
      <c r="AB39" s="61"/>
      <c r="AC39" s="61">
        <f t="shared" si="4"/>
        <v>5511740</v>
      </c>
      <c r="AD39" s="66">
        <f t="shared" si="4"/>
        <v>0</v>
      </c>
    </row>
    <row r="40" spans="4:30" ht="15.75" customHeight="1" x14ac:dyDescent="0.25">
      <c r="D40" s="8" t="s">
        <v>267</v>
      </c>
      <c r="E40" s="25">
        <v>122909</v>
      </c>
      <c r="F40" s="12">
        <v>1140</v>
      </c>
      <c r="G40" s="25">
        <f>'Impo y Expo'!$E40*'Impo y Expo'!$F40</f>
        <v>140116260</v>
      </c>
      <c r="I40" s="8" t="s">
        <v>267</v>
      </c>
      <c r="J40" s="25">
        <v>67134</v>
      </c>
      <c r="K40" s="12">
        <v>1508</v>
      </c>
      <c r="L40" s="25">
        <f>'Impo y Expo'!$J40*'Impo y Expo'!$K40</f>
        <v>101238072</v>
      </c>
      <c r="N40" s="46" t="s">
        <v>52</v>
      </c>
      <c r="O40" s="46" t="s">
        <v>53</v>
      </c>
      <c r="P40" s="47"/>
      <c r="Q40" s="48">
        <v>14125</v>
      </c>
      <c r="R40" s="47"/>
      <c r="S40" s="48">
        <v>1626</v>
      </c>
      <c r="T40" s="48">
        <f t="shared" si="3"/>
        <v>0</v>
      </c>
      <c r="U40" s="48">
        <f t="shared" si="3"/>
        <v>22967250</v>
      </c>
      <c r="W40" s="65" t="s">
        <v>415</v>
      </c>
      <c r="X40" s="47">
        <v>2022</v>
      </c>
      <c r="Y40" s="61">
        <v>2199</v>
      </c>
      <c r="Z40" s="62"/>
      <c r="AA40" s="61">
        <v>1982</v>
      </c>
      <c r="AB40" s="61"/>
      <c r="AC40" s="61">
        <f t="shared" si="4"/>
        <v>4358418</v>
      </c>
      <c r="AD40" s="66">
        <f t="shared" si="4"/>
        <v>0</v>
      </c>
    </row>
    <row r="41" spans="4:30" ht="15.75" customHeight="1" x14ac:dyDescent="0.25">
      <c r="D41" s="8" t="s">
        <v>287</v>
      </c>
      <c r="E41" s="8">
        <v>0</v>
      </c>
      <c r="F41" s="8"/>
      <c r="G41" s="8">
        <f>'Impo y Expo'!$E41*'Impo y Expo'!$F41</f>
        <v>0</v>
      </c>
      <c r="I41" s="8" t="s">
        <v>287</v>
      </c>
      <c r="J41" s="25">
        <v>1081189</v>
      </c>
      <c r="K41" s="8">
        <v>378</v>
      </c>
      <c r="L41" s="8">
        <f>'Impo y Expo'!$J41*'Impo y Expo'!$K41</f>
        <v>408689442</v>
      </c>
      <c r="N41" s="46" t="s">
        <v>55</v>
      </c>
      <c r="O41" s="46" t="s">
        <v>53</v>
      </c>
      <c r="P41" s="47"/>
      <c r="Q41" s="48">
        <v>1485</v>
      </c>
      <c r="R41" s="47"/>
      <c r="S41" s="48">
        <v>1523</v>
      </c>
      <c r="T41" s="48">
        <f t="shared" si="3"/>
        <v>0</v>
      </c>
      <c r="U41" s="48">
        <f t="shared" si="3"/>
        <v>2261655</v>
      </c>
      <c r="W41" s="65" t="s">
        <v>415</v>
      </c>
      <c r="X41" s="47">
        <v>2023</v>
      </c>
      <c r="Y41" s="61">
        <v>2416</v>
      </c>
      <c r="Z41" s="62"/>
      <c r="AA41" s="61">
        <v>1502</v>
      </c>
      <c r="AB41" s="61"/>
      <c r="AC41" s="61">
        <f t="shared" si="4"/>
        <v>3628832</v>
      </c>
      <c r="AD41" s="66">
        <f t="shared" si="4"/>
        <v>0</v>
      </c>
    </row>
    <row r="42" spans="4:30" ht="15.75" customHeight="1" x14ac:dyDescent="0.25">
      <c r="D42" s="8" t="s">
        <v>7</v>
      </c>
      <c r="E42" s="25">
        <f>SUM(E33:E41)</f>
        <v>400896</v>
      </c>
      <c r="F42" s="8"/>
      <c r="G42" s="25">
        <f>SUM(G33:G41)</f>
        <v>404405476</v>
      </c>
      <c r="I42" s="8" t="s">
        <v>7</v>
      </c>
      <c r="J42" s="25">
        <f>SUM(J33:J41)</f>
        <v>1416422</v>
      </c>
      <c r="K42" s="8"/>
      <c r="L42" s="25">
        <f>SUM(L33:L41)</f>
        <v>881201055</v>
      </c>
      <c r="N42" s="46" t="s">
        <v>57</v>
      </c>
      <c r="O42" s="46" t="s">
        <v>53</v>
      </c>
      <c r="P42" s="47"/>
      <c r="Q42" s="47">
        <v>202</v>
      </c>
      <c r="R42" s="47"/>
      <c r="S42" s="48">
        <v>1770</v>
      </c>
      <c r="T42" s="48">
        <f t="shared" si="3"/>
        <v>0</v>
      </c>
      <c r="U42" s="48">
        <f t="shared" si="3"/>
        <v>357540</v>
      </c>
      <c r="W42" s="65" t="s">
        <v>415</v>
      </c>
      <c r="X42" s="47">
        <v>2024</v>
      </c>
      <c r="Y42" s="61">
        <v>2072</v>
      </c>
      <c r="Z42" s="62"/>
      <c r="AA42" s="61">
        <v>1541</v>
      </c>
      <c r="AB42" s="61"/>
      <c r="AC42" s="61">
        <f t="shared" si="4"/>
        <v>3192952</v>
      </c>
      <c r="AD42" s="66">
        <f t="shared" si="4"/>
        <v>0</v>
      </c>
    </row>
    <row r="43" spans="4:30" ht="15.75" customHeight="1" x14ac:dyDescent="0.25">
      <c r="N43" s="46" t="s">
        <v>62</v>
      </c>
      <c r="O43" s="46" t="s">
        <v>403</v>
      </c>
      <c r="P43" s="47">
        <v>171</v>
      </c>
      <c r="Q43" s="48">
        <v>24552</v>
      </c>
      <c r="R43" s="48">
        <v>3243</v>
      </c>
      <c r="S43" s="48">
        <v>1294</v>
      </c>
      <c r="T43" s="48">
        <f t="shared" si="3"/>
        <v>554553</v>
      </c>
      <c r="U43" s="48">
        <f t="shared" si="3"/>
        <v>31770288</v>
      </c>
      <c r="W43" s="65" t="s">
        <v>417</v>
      </c>
      <c r="X43" s="47">
        <v>2021</v>
      </c>
      <c r="Y43" s="61">
        <v>13730</v>
      </c>
      <c r="Z43" s="62">
        <v>368</v>
      </c>
      <c r="AA43" s="61">
        <v>1089</v>
      </c>
      <c r="AB43" s="61"/>
      <c r="AC43" s="61">
        <f t="shared" si="4"/>
        <v>14951970</v>
      </c>
      <c r="AD43" s="66">
        <f t="shared" si="4"/>
        <v>0</v>
      </c>
    </row>
    <row r="44" spans="4:30" ht="15.75" customHeight="1" x14ac:dyDescent="0.25">
      <c r="N44" s="46" t="s">
        <v>64</v>
      </c>
      <c r="O44" s="46" t="s">
        <v>403</v>
      </c>
      <c r="P44" s="47"/>
      <c r="Q44" s="47">
        <v>593</v>
      </c>
      <c r="R44" s="47"/>
      <c r="S44" s="48">
        <v>2426</v>
      </c>
      <c r="T44" s="48">
        <f t="shared" si="3"/>
        <v>0</v>
      </c>
      <c r="U44" s="48">
        <f t="shared" si="3"/>
        <v>1438618</v>
      </c>
      <c r="W44" s="65" t="s">
        <v>417</v>
      </c>
      <c r="X44" s="47">
        <v>2022</v>
      </c>
      <c r="Y44" s="61">
        <v>12014</v>
      </c>
      <c r="Z44" s="62">
        <v>234</v>
      </c>
      <c r="AA44" s="61">
        <v>1358</v>
      </c>
      <c r="AB44" s="61"/>
      <c r="AC44" s="61">
        <f t="shared" si="4"/>
        <v>16315012</v>
      </c>
      <c r="AD44" s="66">
        <f t="shared" si="4"/>
        <v>0</v>
      </c>
    </row>
    <row r="45" spans="4:30" ht="15.75" customHeight="1" x14ac:dyDescent="0.25">
      <c r="G45" s="59"/>
      <c r="N45" s="46" t="s">
        <v>66</v>
      </c>
      <c r="O45" s="46" t="s">
        <v>53</v>
      </c>
      <c r="P45" s="47"/>
      <c r="Q45" s="48">
        <v>6771</v>
      </c>
      <c r="R45" s="47"/>
      <c r="S45" s="47">
        <v>716</v>
      </c>
      <c r="T45" s="48">
        <f t="shared" si="3"/>
        <v>0</v>
      </c>
      <c r="U45" s="48">
        <f t="shared" si="3"/>
        <v>4848036</v>
      </c>
      <c r="W45" s="65" t="s">
        <v>417</v>
      </c>
      <c r="X45" s="47">
        <v>2023</v>
      </c>
      <c r="Y45" s="61">
        <v>13700</v>
      </c>
      <c r="Z45" s="62"/>
      <c r="AA45" s="61">
        <v>1302</v>
      </c>
      <c r="AB45" s="61"/>
      <c r="AC45" s="61">
        <f t="shared" si="4"/>
        <v>17837400</v>
      </c>
      <c r="AD45" s="66">
        <f t="shared" si="4"/>
        <v>0</v>
      </c>
    </row>
    <row r="46" spans="4:30" ht="15.75" customHeight="1" x14ac:dyDescent="0.25">
      <c r="N46" s="46" t="s">
        <v>68</v>
      </c>
      <c r="O46" s="46" t="s">
        <v>53</v>
      </c>
      <c r="P46" s="47"/>
      <c r="Q46" s="47">
        <v>851</v>
      </c>
      <c r="R46" s="47"/>
      <c r="S46" s="48">
        <v>2553</v>
      </c>
      <c r="T46" s="48">
        <f t="shared" si="3"/>
        <v>0</v>
      </c>
      <c r="U46" s="48">
        <f t="shared" si="3"/>
        <v>2172603</v>
      </c>
      <c r="W46" s="65" t="s">
        <v>417</v>
      </c>
      <c r="X46" s="47">
        <v>2024</v>
      </c>
      <c r="Y46" s="61">
        <v>10682</v>
      </c>
      <c r="Z46" s="62"/>
      <c r="AA46" s="61">
        <v>1243</v>
      </c>
      <c r="AB46" s="61"/>
      <c r="AC46" s="61">
        <f>Y46*AA46</f>
        <v>13277726</v>
      </c>
      <c r="AD46" s="66">
        <f t="shared" si="4"/>
        <v>0</v>
      </c>
    </row>
    <row r="47" spans="4:30" ht="15.75" customHeight="1" x14ac:dyDescent="0.25">
      <c r="N47" s="46" t="s">
        <v>69</v>
      </c>
      <c r="O47" s="46" t="s">
        <v>53</v>
      </c>
      <c r="P47" s="47">
        <v>921</v>
      </c>
      <c r="Q47" s="47">
        <v>191</v>
      </c>
      <c r="R47" s="48">
        <v>1016</v>
      </c>
      <c r="S47" s="48">
        <v>1516</v>
      </c>
      <c r="T47" s="48">
        <f t="shared" si="3"/>
        <v>935736</v>
      </c>
      <c r="U47" s="48">
        <f t="shared" si="3"/>
        <v>289556</v>
      </c>
      <c r="W47" s="65" t="s">
        <v>416</v>
      </c>
      <c r="X47" s="47">
        <v>2021</v>
      </c>
      <c r="Y47" s="61">
        <v>8324</v>
      </c>
      <c r="Z47" s="62">
        <v>327</v>
      </c>
      <c r="AA47" s="61">
        <v>1444</v>
      </c>
      <c r="AB47" s="61"/>
      <c r="AC47" s="61">
        <f t="shared" ref="AC47:AC110" si="5">Y47*AA47</f>
        <v>12019856</v>
      </c>
      <c r="AD47" s="66">
        <f t="shared" ref="AD47:AD110" si="6">Z47*AB47</f>
        <v>0</v>
      </c>
    </row>
    <row r="48" spans="4:30" ht="15.75" customHeight="1" x14ac:dyDescent="0.25">
      <c r="N48" s="51" t="s">
        <v>69</v>
      </c>
      <c r="O48" s="51" t="s">
        <v>53</v>
      </c>
      <c r="P48" s="52"/>
      <c r="Q48" s="52"/>
      <c r="R48" s="52"/>
      <c r="S48" s="52"/>
      <c r="T48" s="48">
        <f t="shared" si="3"/>
        <v>0</v>
      </c>
      <c r="U48" s="48">
        <f t="shared" si="3"/>
        <v>0</v>
      </c>
      <c r="W48" s="65" t="s">
        <v>416</v>
      </c>
      <c r="X48" s="47">
        <v>2022</v>
      </c>
      <c r="Y48" s="61">
        <v>4978</v>
      </c>
      <c r="Z48" s="62"/>
      <c r="AA48" s="61">
        <v>2105</v>
      </c>
      <c r="AB48" s="61"/>
      <c r="AC48" s="61">
        <f t="shared" si="5"/>
        <v>10478690</v>
      </c>
      <c r="AD48" s="66">
        <f t="shared" si="6"/>
        <v>0</v>
      </c>
    </row>
    <row r="49" spans="14:30" ht="15.75" customHeight="1" x14ac:dyDescent="0.25">
      <c r="N49" s="51" t="s">
        <v>69</v>
      </c>
      <c r="O49" s="51" t="s">
        <v>53</v>
      </c>
      <c r="P49" s="52"/>
      <c r="Q49" s="52"/>
      <c r="R49" s="52"/>
      <c r="S49" s="52"/>
      <c r="T49" s="48">
        <f t="shared" si="3"/>
        <v>0</v>
      </c>
      <c r="U49" s="48">
        <f t="shared" si="3"/>
        <v>0</v>
      </c>
      <c r="W49" s="65" t="s">
        <v>416</v>
      </c>
      <c r="X49" s="47">
        <v>2023</v>
      </c>
      <c r="Y49" s="61">
        <v>6922</v>
      </c>
      <c r="Z49" s="62">
        <v>11</v>
      </c>
      <c r="AA49" s="61">
        <v>1583</v>
      </c>
      <c r="AB49" s="61"/>
      <c r="AC49" s="61">
        <f t="shared" si="5"/>
        <v>10957526</v>
      </c>
      <c r="AD49" s="66">
        <f t="shared" si="6"/>
        <v>0</v>
      </c>
    </row>
    <row r="50" spans="14:30" ht="15.75" customHeight="1" x14ac:dyDescent="0.25">
      <c r="N50" s="46" t="s">
        <v>75</v>
      </c>
      <c r="O50" s="46" t="s">
        <v>403</v>
      </c>
      <c r="P50" s="47"/>
      <c r="Q50" s="47">
        <v>450</v>
      </c>
      <c r="R50" s="47"/>
      <c r="S50" s="48">
        <v>2163</v>
      </c>
      <c r="T50" s="48">
        <f t="shared" si="3"/>
        <v>0</v>
      </c>
      <c r="U50" s="48">
        <f t="shared" si="3"/>
        <v>973350</v>
      </c>
      <c r="W50" s="65" t="s">
        <v>416</v>
      </c>
      <c r="X50" s="47">
        <v>2024</v>
      </c>
      <c r="Y50" s="61">
        <v>3336</v>
      </c>
      <c r="Z50" s="62"/>
      <c r="AA50" s="61">
        <v>1354</v>
      </c>
      <c r="AB50" s="61"/>
      <c r="AC50" s="61">
        <f t="shared" si="5"/>
        <v>4516944</v>
      </c>
      <c r="AD50" s="66">
        <f t="shared" si="6"/>
        <v>0</v>
      </c>
    </row>
    <row r="51" spans="14:30" ht="15.75" customHeight="1" x14ac:dyDescent="0.25">
      <c r="N51" s="49" t="s">
        <v>76</v>
      </c>
      <c r="O51" s="49" t="s">
        <v>53</v>
      </c>
      <c r="P51" s="50"/>
      <c r="Q51" s="50"/>
      <c r="R51" s="50"/>
      <c r="S51" s="50"/>
      <c r="T51" s="48">
        <f t="shared" si="3"/>
        <v>0</v>
      </c>
      <c r="U51" s="48">
        <f t="shared" si="3"/>
        <v>0</v>
      </c>
      <c r="W51" s="65" t="s">
        <v>95</v>
      </c>
      <c r="X51" s="47">
        <v>2021</v>
      </c>
      <c r="Y51" s="61">
        <v>4452</v>
      </c>
      <c r="Z51" s="62"/>
      <c r="AA51" s="61">
        <v>1407</v>
      </c>
      <c r="AB51" s="61"/>
      <c r="AC51" s="61">
        <f t="shared" si="5"/>
        <v>6263964</v>
      </c>
      <c r="AD51" s="66">
        <f t="shared" si="6"/>
        <v>0</v>
      </c>
    </row>
    <row r="52" spans="14:30" ht="15.75" customHeight="1" x14ac:dyDescent="0.25">
      <c r="N52" s="46" t="s">
        <v>78</v>
      </c>
      <c r="O52" s="46" t="s">
        <v>53</v>
      </c>
      <c r="P52" s="47"/>
      <c r="Q52" s="48">
        <v>84149</v>
      </c>
      <c r="R52" s="47"/>
      <c r="S52" s="47">
        <v>888</v>
      </c>
      <c r="T52" s="48">
        <f t="shared" si="3"/>
        <v>0</v>
      </c>
      <c r="U52" s="48">
        <f t="shared" si="3"/>
        <v>74724312</v>
      </c>
      <c r="W52" s="65" t="s">
        <v>95</v>
      </c>
      <c r="X52" s="47">
        <v>2022</v>
      </c>
      <c r="Y52" s="61">
        <v>4620</v>
      </c>
      <c r="Z52" s="62">
        <v>1</v>
      </c>
      <c r="AA52" s="61">
        <v>1269</v>
      </c>
      <c r="AB52" s="61"/>
      <c r="AC52" s="61">
        <f t="shared" si="5"/>
        <v>5862780</v>
      </c>
      <c r="AD52" s="66">
        <f t="shared" si="6"/>
        <v>0</v>
      </c>
    </row>
    <row r="53" spans="14:30" ht="15.75" customHeight="1" x14ac:dyDescent="0.25">
      <c r="N53" s="46" t="s">
        <v>79</v>
      </c>
      <c r="O53" s="46" t="s">
        <v>53</v>
      </c>
      <c r="P53" s="47"/>
      <c r="Q53" s="47">
        <v>382</v>
      </c>
      <c r="R53" s="47"/>
      <c r="S53" s="48">
        <v>2345</v>
      </c>
      <c r="T53" s="48">
        <f t="shared" si="3"/>
        <v>0</v>
      </c>
      <c r="U53" s="48">
        <f t="shared" si="3"/>
        <v>895790</v>
      </c>
      <c r="W53" s="65" t="s">
        <v>95</v>
      </c>
      <c r="X53" s="47">
        <v>2023</v>
      </c>
      <c r="Y53" s="61">
        <v>4232</v>
      </c>
      <c r="Z53" s="62"/>
      <c r="AA53" s="61">
        <v>1235</v>
      </c>
      <c r="AB53" s="61"/>
      <c r="AC53" s="61">
        <f t="shared" si="5"/>
        <v>5226520</v>
      </c>
      <c r="AD53" s="66">
        <f t="shared" si="6"/>
        <v>0</v>
      </c>
    </row>
    <row r="54" spans="14:30" ht="15.75" customHeight="1" x14ac:dyDescent="0.25">
      <c r="N54" s="46" t="s">
        <v>80</v>
      </c>
      <c r="O54" s="46" t="s">
        <v>53</v>
      </c>
      <c r="P54" s="47"/>
      <c r="Q54" s="48">
        <v>16013</v>
      </c>
      <c r="R54" s="47"/>
      <c r="S54" s="48">
        <v>1812</v>
      </c>
      <c r="T54" s="48">
        <f t="shared" si="3"/>
        <v>0</v>
      </c>
      <c r="U54" s="48">
        <f t="shared" si="3"/>
        <v>29015556</v>
      </c>
      <c r="W54" s="65" t="s">
        <v>95</v>
      </c>
      <c r="X54" s="47">
        <v>2024</v>
      </c>
      <c r="Y54" s="61">
        <v>3346</v>
      </c>
      <c r="Z54" s="62"/>
      <c r="AA54" s="61">
        <v>1514</v>
      </c>
      <c r="AB54" s="61"/>
      <c r="AC54" s="61">
        <f t="shared" si="5"/>
        <v>5065844</v>
      </c>
      <c r="AD54" s="66">
        <f t="shared" si="6"/>
        <v>0</v>
      </c>
    </row>
    <row r="55" spans="14:30" ht="15.75" customHeight="1" x14ac:dyDescent="0.25">
      <c r="N55" s="46" t="s">
        <v>82</v>
      </c>
      <c r="O55" s="46" t="s">
        <v>403</v>
      </c>
      <c r="P55" s="47"/>
      <c r="Q55" s="48">
        <v>1634</v>
      </c>
      <c r="R55" s="47"/>
      <c r="S55" s="48">
        <v>4464</v>
      </c>
      <c r="T55" s="48">
        <f t="shared" si="3"/>
        <v>0</v>
      </c>
      <c r="U55" s="48">
        <f t="shared" si="3"/>
        <v>7294176</v>
      </c>
      <c r="W55" s="65" t="s">
        <v>418</v>
      </c>
      <c r="X55" s="47">
        <v>2021</v>
      </c>
      <c r="Y55" s="61">
        <v>7204</v>
      </c>
      <c r="Z55" s="62">
        <v>283</v>
      </c>
      <c r="AA55" s="61">
        <v>959</v>
      </c>
      <c r="AB55" s="61"/>
      <c r="AC55" s="61">
        <f t="shared" si="5"/>
        <v>6908636</v>
      </c>
      <c r="AD55" s="66">
        <f t="shared" si="6"/>
        <v>0</v>
      </c>
    </row>
    <row r="56" spans="14:30" ht="15.75" customHeight="1" x14ac:dyDescent="0.25">
      <c r="N56" s="46" t="s">
        <v>83</v>
      </c>
      <c r="O56" s="46" t="s">
        <v>53</v>
      </c>
      <c r="P56" s="48">
        <v>5559</v>
      </c>
      <c r="Q56" s="48">
        <v>4265</v>
      </c>
      <c r="R56" s="48">
        <v>1498</v>
      </c>
      <c r="S56" s="48">
        <v>1962</v>
      </c>
      <c r="T56" s="48">
        <f t="shared" si="3"/>
        <v>8327382</v>
      </c>
      <c r="U56" s="48">
        <f t="shared" si="3"/>
        <v>8367930</v>
      </c>
      <c r="W56" s="65" t="s">
        <v>418</v>
      </c>
      <c r="X56" s="47">
        <v>2022</v>
      </c>
      <c r="Y56" s="61">
        <v>8887</v>
      </c>
      <c r="Z56" s="62">
        <v>196</v>
      </c>
      <c r="AA56" s="61">
        <v>1297</v>
      </c>
      <c r="AB56" s="61">
        <v>1888</v>
      </c>
      <c r="AC56" s="61">
        <f t="shared" si="5"/>
        <v>11526439</v>
      </c>
      <c r="AD56" s="66">
        <f t="shared" si="6"/>
        <v>370048</v>
      </c>
    </row>
    <row r="57" spans="14:30" ht="15.75" customHeight="1" x14ac:dyDescent="0.25">
      <c r="N57" s="46" t="s">
        <v>85</v>
      </c>
      <c r="O57" s="46" t="s">
        <v>404</v>
      </c>
      <c r="P57" s="48">
        <v>31970</v>
      </c>
      <c r="Q57" s="47"/>
      <c r="R57" s="47"/>
      <c r="S57" s="47">
        <v>323</v>
      </c>
      <c r="T57" s="48">
        <f t="shared" si="3"/>
        <v>0</v>
      </c>
      <c r="U57" s="48">
        <f t="shared" si="3"/>
        <v>0</v>
      </c>
      <c r="W57" s="65" t="s">
        <v>418</v>
      </c>
      <c r="X57" s="47">
        <v>2023</v>
      </c>
      <c r="Y57" s="61">
        <v>6842</v>
      </c>
      <c r="Z57" s="62">
        <v>250</v>
      </c>
      <c r="AA57" s="61">
        <v>1084</v>
      </c>
      <c r="AB57" s="61">
        <v>2130</v>
      </c>
      <c r="AC57" s="61">
        <f t="shared" si="5"/>
        <v>7416728</v>
      </c>
      <c r="AD57" s="66">
        <f t="shared" si="6"/>
        <v>532500</v>
      </c>
    </row>
    <row r="58" spans="14:30" ht="15.75" customHeight="1" x14ac:dyDescent="0.25">
      <c r="N58" s="51" t="s">
        <v>85</v>
      </c>
      <c r="O58" s="51" t="s">
        <v>404</v>
      </c>
      <c r="P58" s="52"/>
      <c r="Q58" s="52"/>
      <c r="R58" s="52"/>
      <c r="S58" s="52"/>
      <c r="T58" s="48">
        <f t="shared" si="3"/>
        <v>0</v>
      </c>
      <c r="U58" s="48">
        <f t="shared" si="3"/>
        <v>0</v>
      </c>
      <c r="W58" s="65" t="s">
        <v>418</v>
      </c>
      <c r="X58" s="47">
        <v>2024</v>
      </c>
      <c r="Y58" s="61">
        <v>5664</v>
      </c>
      <c r="Z58" s="62">
        <v>232</v>
      </c>
      <c r="AA58" s="61">
        <v>900</v>
      </c>
      <c r="AB58" s="61">
        <v>1964</v>
      </c>
      <c r="AC58" s="61">
        <f t="shared" si="5"/>
        <v>5097600</v>
      </c>
      <c r="AD58" s="66">
        <f t="shared" si="6"/>
        <v>455648</v>
      </c>
    </row>
    <row r="59" spans="14:30" ht="15.75" customHeight="1" x14ac:dyDescent="0.25">
      <c r="N59" s="51" t="s">
        <v>85</v>
      </c>
      <c r="O59" s="51" t="s">
        <v>404</v>
      </c>
      <c r="P59" s="52"/>
      <c r="Q59" s="52"/>
      <c r="R59" s="52"/>
      <c r="S59" s="52"/>
      <c r="T59" s="48">
        <f t="shared" si="3"/>
        <v>0</v>
      </c>
      <c r="U59" s="48">
        <f t="shared" si="3"/>
        <v>0</v>
      </c>
      <c r="W59" s="65" t="s">
        <v>419</v>
      </c>
      <c r="X59" s="47">
        <v>2021</v>
      </c>
      <c r="Y59" s="61">
        <v>17237</v>
      </c>
      <c r="Z59" s="62">
        <v>414</v>
      </c>
      <c r="AA59" s="61">
        <v>2099</v>
      </c>
      <c r="AB59" s="61"/>
      <c r="AC59" s="61">
        <f t="shared" si="5"/>
        <v>36180463</v>
      </c>
      <c r="AD59" s="66">
        <f t="shared" si="6"/>
        <v>0</v>
      </c>
    </row>
    <row r="60" spans="14:30" ht="15.75" customHeight="1" x14ac:dyDescent="0.25">
      <c r="N60" s="46" t="s">
        <v>93</v>
      </c>
      <c r="O60" s="46" t="s">
        <v>403</v>
      </c>
      <c r="P60" s="47"/>
      <c r="Q60" s="47">
        <v>886</v>
      </c>
      <c r="R60" s="48">
        <v>1727</v>
      </c>
      <c r="S60" s="47"/>
      <c r="T60" s="48">
        <f t="shared" si="3"/>
        <v>0</v>
      </c>
      <c r="U60" s="48">
        <f t="shared" si="3"/>
        <v>0</v>
      </c>
      <c r="W60" s="65" t="s">
        <v>419</v>
      </c>
      <c r="X60" s="47">
        <v>2022</v>
      </c>
      <c r="Y60" s="61">
        <v>16898</v>
      </c>
      <c r="Z60" s="62">
        <v>4</v>
      </c>
      <c r="AA60" s="61">
        <v>2615</v>
      </c>
      <c r="AB60" s="61"/>
      <c r="AC60" s="61">
        <f t="shared" si="5"/>
        <v>44188270</v>
      </c>
      <c r="AD60" s="66">
        <f t="shared" si="6"/>
        <v>0</v>
      </c>
    </row>
    <row r="61" spans="14:30" ht="15.75" customHeight="1" x14ac:dyDescent="0.25">
      <c r="N61" s="46" t="s">
        <v>97</v>
      </c>
      <c r="O61" s="46" t="s">
        <v>53</v>
      </c>
      <c r="P61" s="48">
        <v>7250</v>
      </c>
      <c r="Q61" s="47">
        <v>585</v>
      </c>
      <c r="R61" s="48">
        <v>1055</v>
      </c>
      <c r="S61" s="48">
        <v>1246</v>
      </c>
      <c r="T61" s="48">
        <f t="shared" si="3"/>
        <v>7648750</v>
      </c>
      <c r="U61" s="48">
        <f t="shared" si="3"/>
        <v>728910</v>
      </c>
      <c r="W61" s="65" t="s">
        <v>419</v>
      </c>
      <c r="X61" s="47">
        <v>2023</v>
      </c>
      <c r="Y61" s="61">
        <v>16393</v>
      </c>
      <c r="Z61" s="62">
        <v>97</v>
      </c>
      <c r="AA61" s="61">
        <v>1807</v>
      </c>
      <c r="AB61" s="61"/>
      <c r="AC61" s="61">
        <f t="shared" si="5"/>
        <v>29622151</v>
      </c>
      <c r="AD61" s="66">
        <f t="shared" si="6"/>
        <v>0</v>
      </c>
    </row>
    <row r="62" spans="14:30" ht="15.75" customHeight="1" x14ac:dyDescent="0.25">
      <c r="N62" s="46" t="s">
        <v>101</v>
      </c>
      <c r="O62" s="46" t="s">
        <v>53</v>
      </c>
      <c r="P62" s="48">
        <v>6659</v>
      </c>
      <c r="Q62" s="47">
        <v>103</v>
      </c>
      <c r="R62" s="48">
        <v>1157</v>
      </c>
      <c r="S62" s="48">
        <v>1410</v>
      </c>
      <c r="T62" s="48">
        <f t="shared" si="3"/>
        <v>7704463</v>
      </c>
      <c r="U62" s="48">
        <f t="shared" si="3"/>
        <v>145230</v>
      </c>
      <c r="W62" s="65" t="s">
        <v>419</v>
      </c>
      <c r="X62" s="47">
        <v>2024</v>
      </c>
      <c r="Y62" s="61">
        <v>14125</v>
      </c>
      <c r="Z62" s="62">
        <v>108</v>
      </c>
      <c r="AA62" s="61">
        <v>1626</v>
      </c>
      <c r="AB62" s="61"/>
      <c r="AC62" s="61">
        <f t="shared" si="5"/>
        <v>22967250</v>
      </c>
      <c r="AD62" s="66">
        <f t="shared" si="6"/>
        <v>0</v>
      </c>
    </row>
    <row r="63" spans="14:30" ht="15.75" customHeight="1" x14ac:dyDescent="0.25">
      <c r="N63" s="46" t="s">
        <v>105</v>
      </c>
      <c r="O63" s="46" t="s">
        <v>404</v>
      </c>
      <c r="P63" s="48">
        <v>39150</v>
      </c>
      <c r="Q63" s="47"/>
      <c r="R63" s="47"/>
      <c r="S63" s="47">
        <v>917</v>
      </c>
      <c r="T63" s="48">
        <f t="shared" si="3"/>
        <v>0</v>
      </c>
      <c r="U63" s="48">
        <f t="shared" si="3"/>
        <v>0</v>
      </c>
      <c r="W63" s="65" t="s">
        <v>420</v>
      </c>
      <c r="X63" s="47">
        <v>2021</v>
      </c>
      <c r="Y63" s="61">
        <v>2792</v>
      </c>
      <c r="Z63" s="62"/>
      <c r="AA63" s="61">
        <v>1685</v>
      </c>
      <c r="AB63" s="61"/>
      <c r="AC63" s="61">
        <f t="shared" si="5"/>
        <v>4704520</v>
      </c>
      <c r="AD63" s="66">
        <f t="shared" si="6"/>
        <v>0</v>
      </c>
    </row>
    <row r="64" spans="14:30" ht="15.75" customHeight="1" x14ac:dyDescent="0.25">
      <c r="N64" s="51" t="s">
        <v>105</v>
      </c>
      <c r="O64" s="51" t="s">
        <v>404</v>
      </c>
      <c r="P64" s="52"/>
      <c r="Q64" s="52"/>
      <c r="R64" s="52"/>
      <c r="S64" s="52"/>
      <c r="T64" s="48">
        <f t="shared" si="3"/>
        <v>0</v>
      </c>
      <c r="U64" s="48">
        <f t="shared" si="3"/>
        <v>0</v>
      </c>
      <c r="W64" s="65" t="s">
        <v>420</v>
      </c>
      <c r="X64" s="47">
        <v>2022</v>
      </c>
      <c r="Y64" s="61">
        <v>2392</v>
      </c>
      <c r="Z64" s="62"/>
      <c r="AA64" s="61">
        <v>2110</v>
      </c>
      <c r="AB64" s="61"/>
      <c r="AC64" s="61">
        <f t="shared" si="5"/>
        <v>5047120</v>
      </c>
      <c r="AD64" s="66">
        <f t="shared" si="6"/>
        <v>0</v>
      </c>
    </row>
    <row r="65" spans="14:30" ht="15.75" customHeight="1" x14ac:dyDescent="0.25">
      <c r="N65" s="46" t="s">
        <v>113</v>
      </c>
      <c r="O65" s="46" t="s">
        <v>53</v>
      </c>
      <c r="P65" s="47"/>
      <c r="Q65" s="47">
        <v>25</v>
      </c>
      <c r="R65" s="47"/>
      <c r="S65" s="48">
        <v>2772</v>
      </c>
      <c r="T65" s="48">
        <f t="shared" si="3"/>
        <v>0</v>
      </c>
      <c r="U65" s="48">
        <f t="shared" si="3"/>
        <v>69300</v>
      </c>
      <c r="W65" s="65" t="s">
        <v>420</v>
      </c>
      <c r="X65" s="47">
        <v>2023</v>
      </c>
      <c r="Y65" s="61">
        <v>3499</v>
      </c>
      <c r="Z65" s="62"/>
      <c r="AA65" s="61">
        <v>1441</v>
      </c>
      <c r="AB65" s="61"/>
      <c r="AC65" s="61">
        <f t="shared" si="5"/>
        <v>5042059</v>
      </c>
      <c r="AD65" s="66">
        <f t="shared" si="6"/>
        <v>0</v>
      </c>
    </row>
    <row r="66" spans="14:30" ht="15.75" customHeight="1" x14ac:dyDescent="0.25">
      <c r="N66" s="46" t="s">
        <v>117</v>
      </c>
      <c r="O66" s="46" t="s">
        <v>404</v>
      </c>
      <c r="P66" s="47"/>
      <c r="Q66" s="48">
        <v>27765</v>
      </c>
      <c r="R66" s="47"/>
      <c r="S66" s="48">
        <v>1085</v>
      </c>
      <c r="T66" s="48">
        <f t="shared" si="3"/>
        <v>0</v>
      </c>
      <c r="U66" s="48">
        <f t="shared" si="3"/>
        <v>30125025</v>
      </c>
      <c r="W66" s="65" t="s">
        <v>420</v>
      </c>
      <c r="X66" s="47">
        <v>2024</v>
      </c>
      <c r="Y66" s="61">
        <v>1485</v>
      </c>
      <c r="Z66" s="62"/>
      <c r="AA66" s="61">
        <v>1523</v>
      </c>
      <c r="AB66" s="61"/>
      <c r="AC66" s="61">
        <f t="shared" si="5"/>
        <v>2261655</v>
      </c>
      <c r="AD66" s="66">
        <f t="shared" si="6"/>
        <v>0</v>
      </c>
    </row>
    <row r="67" spans="14:30" ht="15.75" customHeight="1" x14ac:dyDescent="0.25">
      <c r="N67" s="46" t="s">
        <v>121</v>
      </c>
      <c r="O67" s="46" t="s">
        <v>53</v>
      </c>
      <c r="P67" s="47"/>
      <c r="Q67" s="48">
        <v>1344</v>
      </c>
      <c r="R67" s="47"/>
      <c r="S67" s="48">
        <v>1363</v>
      </c>
      <c r="T67" s="48">
        <f t="shared" si="3"/>
        <v>0</v>
      </c>
      <c r="U67" s="48">
        <f t="shared" si="3"/>
        <v>1831872</v>
      </c>
      <c r="W67" s="65" t="s">
        <v>421</v>
      </c>
      <c r="X67" s="47">
        <v>2021</v>
      </c>
      <c r="Y67" s="61">
        <v>359</v>
      </c>
      <c r="Z67" s="62"/>
      <c r="AA67" s="61">
        <v>1653</v>
      </c>
      <c r="AB67" s="61"/>
      <c r="AC67" s="61">
        <f t="shared" si="5"/>
        <v>593427</v>
      </c>
      <c r="AD67" s="66">
        <f t="shared" si="6"/>
        <v>0</v>
      </c>
    </row>
    <row r="68" spans="14:30" ht="15.75" customHeight="1" x14ac:dyDescent="0.25">
      <c r="N68" s="46" t="s">
        <v>125</v>
      </c>
      <c r="O68" s="46" t="s">
        <v>53</v>
      </c>
      <c r="P68" s="47"/>
      <c r="Q68" s="47">
        <v>173</v>
      </c>
      <c r="R68" s="47"/>
      <c r="S68" s="48">
        <v>1559</v>
      </c>
      <c r="T68" s="48">
        <f t="shared" si="3"/>
        <v>0</v>
      </c>
      <c r="U68" s="48">
        <f t="shared" si="3"/>
        <v>269707</v>
      </c>
      <c r="W68" s="65" t="s">
        <v>421</v>
      </c>
      <c r="X68" s="47">
        <v>2022</v>
      </c>
      <c r="Y68" s="61">
        <v>666</v>
      </c>
      <c r="Z68" s="62"/>
      <c r="AA68" s="61">
        <v>1870</v>
      </c>
      <c r="AB68" s="61"/>
      <c r="AC68" s="61">
        <f t="shared" si="5"/>
        <v>1245420</v>
      </c>
      <c r="AD68" s="66">
        <f t="shared" si="6"/>
        <v>0</v>
      </c>
    </row>
    <row r="69" spans="14:30" ht="15.75" customHeight="1" x14ac:dyDescent="0.25">
      <c r="N69" s="53" t="s">
        <v>129</v>
      </c>
      <c r="O69" s="53" t="s">
        <v>53</v>
      </c>
      <c r="P69" s="54"/>
      <c r="Q69" s="54"/>
      <c r="R69" s="54"/>
      <c r="S69" s="54"/>
      <c r="T69" s="48">
        <f t="shared" si="3"/>
        <v>0</v>
      </c>
      <c r="U69" s="48">
        <f t="shared" si="3"/>
        <v>0</v>
      </c>
      <c r="W69" s="65" t="s">
        <v>421</v>
      </c>
      <c r="X69" s="47">
        <v>2023</v>
      </c>
      <c r="Y69" s="61">
        <v>667</v>
      </c>
      <c r="Z69" s="62"/>
      <c r="AA69" s="61">
        <v>1428</v>
      </c>
      <c r="AB69" s="61"/>
      <c r="AC69" s="61">
        <f t="shared" si="5"/>
        <v>952476</v>
      </c>
      <c r="AD69" s="66">
        <f t="shared" si="6"/>
        <v>0</v>
      </c>
    </row>
    <row r="70" spans="14:30" ht="15.75" customHeight="1" x14ac:dyDescent="0.25">
      <c r="N70" s="53" t="s">
        <v>133</v>
      </c>
      <c r="O70" s="53" t="s">
        <v>404</v>
      </c>
      <c r="P70" s="54"/>
      <c r="Q70" s="54"/>
      <c r="R70" s="54"/>
      <c r="S70" s="54"/>
      <c r="T70" s="48">
        <f t="shared" si="3"/>
        <v>0</v>
      </c>
      <c r="U70" s="48">
        <f t="shared" si="3"/>
        <v>0</v>
      </c>
      <c r="W70" s="65" t="s">
        <v>421</v>
      </c>
      <c r="X70" s="47">
        <v>2024</v>
      </c>
      <c r="Y70" s="61">
        <v>202</v>
      </c>
      <c r="Z70" s="62"/>
      <c r="AA70" s="61">
        <v>1770</v>
      </c>
      <c r="AB70" s="61"/>
      <c r="AC70" s="61">
        <f t="shared" si="5"/>
        <v>357540</v>
      </c>
      <c r="AD70" s="66">
        <f t="shared" si="6"/>
        <v>0</v>
      </c>
    </row>
    <row r="71" spans="14:30" ht="15.75" customHeight="1" x14ac:dyDescent="0.25">
      <c r="N71" s="46" t="s">
        <v>135</v>
      </c>
      <c r="O71" s="46" t="s">
        <v>53</v>
      </c>
      <c r="P71" s="47"/>
      <c r="Q71" s="47">
        <v>495</v>
      </c>
      <c r="R71" s="47"/>
      <c r="S71" s="48">
        <v>5256</v>
      </c>
      <c r="T71" s="48">
        <f t="shared" si="3"/>
        <v>0</v>
      </c>
      <c r="U71" s="48">
        <f t="shared" si="3"/>
        <v>2601720</v>
      </c>
      <c r="W71" s="65" t="s">
        <v>422</v>
      </c>
      <c r="X71" s="47">
        <v>2021</v>
      </c>
      <c r="Y71" s="61">
        <v>31862</v>
      </c>
      <c r="Z71" s="62">
        <v>457</v>
      </c>
      <c r="AA71" s="61">
        <v>1176</v>
      </c>
      <c r="AB71" s="61">
        <v>1617</v>
      </c>
      <c r="AC71" s="61">
        <f t="shared" si="5"/>
        <v>37469712</v>
      </c>
      <c r="AD71" s="66">
        <f t="shared" si="6"/>
        <v>738969</v>
      </c>
    </row>
    <row r="72" spans="14:30" ht="15.75" customHeight="1" x14ac:dyDescent="0.25">
      <c r="N72" s="46" t="s">
        <v>138</v>
      </c>
      <c r="O72" s="46" t="s">
        <v>53</v>
      </c>
      <c r="P72" s="47"/>
      <c r="Q72" s="47">
        <v>76</v>
      </c>
      <c r="R72" s="47"/>
      <c r="S72" s="48">
        <v>2140</v>
      </c>
      <c r="T72" s="48">
        <f t="shared" si="3"/>
        <v>0</v>
      </c>
      <c r="U72" s="48">
        <f t="shared" si="3"/>
        <v>162640</v>
      </c>
      <c r="W72" s="65" t="s">
        <v>422</v>
      </c>
      <c r="X72" s="47">
        <v>2022</v>
      </c>
      <c r="Y72" s="61">
        <v>31421</v>
      </c>
      <c r="Z72" s="62">
        <v>199</v>
      </c>
      <c r="AA72" s="61">
        <v>2230</v>
      </c>
      <c r="AB72" s="61">
        <v>3618</v>
      </c>
      <c r="AC72" s="61">
        <f t="shared" si="5"/>
        <v>70068830</v>
      </c>
      <c r="AD72" s="66">
        <f t="shared" si="6"/>
        <v>719982</v>
      </c>
    </row>
    <row r="73" spans="14:30" ht="15.75" customHeight="1" x14ac:dyDescent="0.25">
      <c r="N73" s="46" t="s">
        <v>100</v>
      </c>
      <c r="O73" s="46" t="s">
        <v>402</v>
      </c>
      <c r="P73" s="47">
        <v>175</v>
      </c>
      <c r="Q73" s="47">
        <v>683</v>
      </c>
      <c r="R73" s="48">
        <v>2685</v>
      </c>
      <c r="S73" s="48">
        <v>2957</v>
      </c>
      <c r="T73" s="48">
        <f t="shared" si="3"/>
        <v>469875</v>
      </c>
      <c r="U73" s="48">
        <f t="shared" si="3"/>
        <v>2019631</v>
      </c>
      <c r="W73" s="65" t="s">
        <v>422</v>
      </c>
      <c r="X73" s="47">
        <v>2023</v>
      </c>
      <c r="Y73" s="61">
        <v>30536</v>
      </c>
      <c r="Z73" s="62">
        <v>169</v>
      </c>
      <c r="AA73" s="61">
        <v>1396</v>
      </c>
      <c r="AB73" s="61">
        <v>3191</v>
      </c>
      <c r="AC73" s="61">
        <f t="shared" si="5"/>
        <v>42628256</v>
      </c>
      <c r="AD73" s="66">
        <f t="shared" si="6"/>
        <v>539279</v>
      </c>
    </row>
    <row r="74" spans="14:30" ht="15.75" customHeight="1" x14ac:dyDescent="0.25">
      <c r="N74" s="46" t="s">
        <v>141</v>
      </c>
      <c r="O74" s="46" t="s">
        <v>402</v>
      </c>
      <c r="P74" s="47"/>
      <c r="Q74" s="48">
        <v>4086</v>
      </c>
      <c r="R74" s="47"/>
      <c r="S74" s="48">
        <v>2849</v>
      </c>
      <c r="T74" s="48">
        <f t="shared" si="3"/>
        <v>0</v>
      </c>
      <c r="U74" s="48">
        <f t="shared" si="3"/>
        <v>11641014</v>
      </c>
      <c r="W74" s="65" t="s">
        <v>422</v>
      </c>
      <c r="X74" s="47">
        <v>2024</v>
      </c>
      <c r="Y74" s="61">
        <v>24552</v>
      </c>
      <c r="Z74" s="62">
        <v>171</v>
      </c>
      <c r="AA74" s="61">
        <v>1294</v>
      </c>
      <c r="AB74" s="61">
        <v>3243</v>
      </c>
      <c r="AC74" s="61">
        <f t="shared" si="5"/>
        <v>31770288</v>
      </c>
      <c r="AD74" s="66">
        <f t="shared" si="6"/>
        <v>554553</v>
      </c>
    </row>
    <row r="75" spans="14:30" ht="15.75" customHeight="1" x14ac:dyDescent="0.25">
      <c r="N75" s="46" t="s">
        <v>100</v>
      </c>
      <c r="O75" s="46" t="s">
        <v>402</v>
      </c>
      <c r="P75" s="48">
        <v>38081</v>
      </c>
      <c r="Q75" s="48">
        <v>6019</v>
      </c>
      <c r="R75" s="48">
        <v>1763</v>
      </c>
      <c r="S75" s="48">
        <v>2805</v>
      </c>
      <c r="T75" s="48">
        <f t="shared" si="3"/>
        <v>67136803</v>
      </c>
      <c r="U75" s="48">
        <f t="shared" si="3"/>
        <v>16883295</v>
      </c>
      <c r="W75" s="65" t="s">
        <v>423</v>
      </c>
      <c r="X75" s="47">
        <v>2021</v>
      </c>
      <c r="Y75" s="61">
        <v>633</v>
      </c>
      <c r="Z75" s="62"/>
      <c r="AA75" s="61">
        <v>2045</v>
      </c>
      <c r="AB75" s="61"/>
      <c r="AC75" s="61">
        <f t="shared" si="5"/>
        <v>1294485</v>
      </c>
      <c r="AD75" s="66">
        <f t="shared" si="6"/>
        <v>0</v>
      </c>
    </row>
    <row r="76" spans="14:30" ht="15.75" customHeight="1" x14ac:dyDescent="0.25">
      <c r="N76" s="46" t="s">
        <v>146</v>
      </c>
      <c r="O76" s="46" t="s">
        <v>402</v>
      </c>
      <c r="P76" s="47"/>
      <c r="Q76" s="48">
        <v>1205</v>
      </c>
      <c r="R76" s="47"/>
      <c r="S76" s="48">
        <v>3670</v>
      </c>
      <c r="T76" s="48">
        <f t="shared" si="3"/>
        <v>0</v>
      </c>
      <c r="U76" s="48">
        <f t="shared" si="3"/>
        <v>4422350</v>
      </c>
      <c r="W76" s="65" t="s">
        <v>423</v>
      </c>
      <c r="X76" s="47">
        <v>2022</v>
      </c>
      <c r="Y76" s="61">
        <v>759</v>
      </c>
      <c r="Z76" s="62"/>
      <c r="AA76" s="61">
        <v>2434</v>
      </c>
      <c r="AB76" s="61"/>
      <c r="AC76" s="61">
        <f t="shared" si="5"/>
        <v>1847406</v>
      </c>
      <c r="AD76" s="66">
        <f t="shared" si="6"/>
        <v>0</v>
      </c>
    </row>
    <row r="77" spans="14:30" ht="15.75" customHeight="1" x14ac:dyDescent="0.25">
      <c r="N77" s="46" t="s">
        <v>149</v>
      </c>
      <c r="O77" s="46" t="s">
        <v>402</v>
      </c>
      <c r="P77" s="47"/>
      <c r="Q77" s="48">
        <v>3926</v>
      </c>
      <c r="R77" s="47"/>
      <c r="S77" s="48">
        <v>1926</v>
      </c>
      <c r="T77" s="48">
        <f t="shared" si="3"/>
        <v>0</v>
      </c>
      <c r="U77" s="48">
        <f t="shared" si="3"/>
        <v>7561476</v>
      </c>
      <c r="W77" s="65" t="s">
        <v>423</v>
      </c>
      <c r="X77" s="47">
        <v>2023</v>
      </c>
      <c r="Y77" s="61">
        <v>672</v>
      </c>
      <c r="Z77" s="62"/>
      <c r="AA77" s="61">
        <v>2589</v>
      </c>
      <c r="AB77" s="61"/>
      <c r="AC77" s="61">
        <f t="shared" si="5"/>
        <v>1739808</v>
      </c>
      <c r="AD77" s="66">
        <f t="shared" si="6"/>
        <v>0</v>
      </c>
    </row>
    <row r="78" spans="14:30" ht="15.75" customHeight="1" x14ac:dyDescent="0.25">
      <c r="N78" s="46" t="s">
        <v>152</v>
      </c>
      <c r="O78" s="46" t="s">
        <v>402</v>
      </c>
      <c r="P78" s="47"/>
      <c r="Q78" s="47">
        <v>507</v>
      </c>
      <c r="R78" s="47"/>
      <c r="S78" s="48">
        <v>5940</v>
      </c>
      <c r="T78" s="48">
        <f t="shared" si="3"/>
        <v>0</v>
      </c>
      <c r="U78" s="48">
        <f t="shared" si="3"/>
        <v>3011580</v>
      </c>
      <c r="W78" s="65" t="s">
        <v>423</v>
      </c>
      <c r="X78" s="47">
        <v>2024</v>
      </c>
      <c r="Y78" s="61">
        <v>593</v>
      </c>
      <c r="Z78" s="62"/>
      <c r="AA78" s="61">
        <v>2426</v>
      </c>
      <c r="AB78" s="61"/>
      <c r="AC78" s="61">
        <f t="shared" si="5"/>
        <v>1438618</v>
      </c>
      <c r="AD78" s="66">
        <f t="shared" si="6"/>
        <v>0</v>
      </c>
    </row>
    <row r="79" spans="14:30" ht="15.75" customHeight="1" x14ac:dyDescent="0.25">
      <c r="N79" s="46" t="s">
        <v>155</v>
      </c>
      <c r="O79" s="46" t="s">
        <v>402</v>
      </c>
      <c r="P79" s="47"/>
      <c r="Q79" s="48">
        <v>1173</v>
      </c>
      <c r="R79" s="47"/>
      <c r="S79" s="48">
        <v>2227</v>
      </c>
      <c r="T79" s="48">
        <f t="shared" si="3"/>
        <v>0</v>
      </c>
      <c r="U79" s="48">
        <f t="shared" si="3"/>
        <v>2612271</v>
      </c>
      <c r="W79" s="65" t="s">
        <v>424</v>
      </c>
      <c r="X79" s="47">
        <v>2021</v>
      </c>
      <c r="Y79" s="61">
        <v>11544</v>
      </c>
      <c r="Z79" s="62"/>
      <c r="AA79" s="61">
        <v>783</v>
      </c>
      <c r="AB79" s="61"/>
      <c r="AC79" s="61">
        <f t="shared" si="5"/>
        <v>9038952</v>
      </c>
      <c r="AD79" s="66">
        <f t="shared" si="6"/>
        <v>0</v>
      </c>
    </row>
    <row r="80" spans="14:30" ht="15.75" customHeight="1" x14ac:dyDescent="0.25">
      <c r="N80" s="46" t="s">
        <v>158</v>
      </c>
      <c r="O80" s="46" t="s">
        <v>403</v>
      </c>
      <c r="P80" s="47"/>
      <c r="Q80" s="48">
        <v>8940</v>
      </c>
      <c r="R80" s="47"/>
      <c r="S80" s="48">
        <v>2513</v>
      </c>
      <c r="T80" s="48">
        <f t="shared" si="3"/>
        <v>0</v>
      </c>
      <c r="U80" s="48">
        <f t="shared" si="3"/>
        <v>22466220</v>
      </c>
      <c r="W80" s="65" t="s">
        <v>424</v>
      </c>
      <c r="X80" s="47">
        <v>2022</v>
      </c>
      <c r="Y80" s="61">
        <v>9794</v>
      </c>
      <c r="Z80" s="62"/>
      <c r="AA80" s="61">
        <v>1390</v>
      </c>
      <c r="AB80" s="61"/>
      <c r="AC80" s="61">
        <f t="shared" si="5"/>
        <v>13613660</v>
      </c>
      <c r="AD80" s="66">
        <f t="shared" si="6"/>
        <v>0</v>
      </c>
    </row>
    <row r="81" spans="14:30" ht="15.75" customHeight="1" x14ac:dyDescent="0.25">
      <c r="N81" s="46" t="s">
        <v>161</v>
      </c>
      <c r="O81" s="46" t="s">
        <v>53</v>
      </c>
      <c r="P81" s="48">
        <v>1996</v>
      </c>
      <c r="Q81" s="47"/>
      <c r="R81" s="48">
        <v>1472</v>
      </c>
      <c r="S81" s="47"/>
      <c r="T81" s="48">
        <f t="shared" si="3"/>
        <v>2938112</v>
      </c>
      <c r="U81" s="48">
        <f t="shared" si="3"/>
        <v>0</v>
      </c>
      <c r="W81" s="65" t="s">
        <v>424</v>
      </c>
      <c r="X81" s="47">
        <v>2023</v>
      </c>
      <c r="Y81" s="61">
        <v>8235</v>
      </c>
      <c r="Z81" s="62">
        <v>168</v>
      </c>
      <c r="AA81" s="61">
        <v>831</v>
      </c>
      <c r="AB81" s="61"/>
      <c r="AC81" s="61">
        <f t="shared" si="5"/>
        <v>6843285</v>
      </c>
      <c r="AD81" s="66">
        <f t="shared" si="6"/>
        <v>0</v>
      </c>
    </row>
    <row r="82" spans="14:30" ht="15.75" customHeight="1" x14ac:dyDescent="0.25">
      <c r="N82" s="46" t="s">
        <v>159</v>
      </c>
      <c r="O82" s="46" t="s">
        <v>53</v>
      </c>
      <c r="P82" s="47"/>
      <c r="Q82" s="47">
        <v>565</v>
      </c>
      <c r="R82" s="47"/>
      <c r="S82" s="48">
        <v>2014</v>
      </c>
      <c r="T82" s="48">
        <f t="shared" si="3"/>
        <v>0</v>
      </c>
      <c r="U82" s="48">
        <f t="shared" si="3"/>
        <v>1137910</v>
      </c>
      <c r="W82" s="65" t="s">
        <v>424</v>
      </c>
      <c r="X82" s="47">
        <v>2024</v>
      </c>
      <c r="Y82" s="61">
        <v>6771</v>
      </c>
      <c r="Z82" s="62">
        <v>216</v>
      </c>
      <c r="AA82" s="61">
        <v>716</v>
      </c>
      <c r="AB82" s="61"/>
      <c r="AC82" s="61">
        <f t="shared" si="5"/>
        <v>4848036</v>
      </c>
      <c r="AD82" s="66">
        <f t="shared" si="6"/>
        <v>0</v>
      </c>
    </row>
    <row r="83" spans="14:30" ht="15.75" customHeight="1" x14ac:dyDescent="0.25">
      <c r="N83" s="46" t="s">
        <v>166</v>
      </c>
      <c r="O83" s="46" t="s">
        <v>53</v>
      </c>
      <c r="P83" s="47"/>
      <c r="Q83" s="47">
        <v>84</v>
      </c>
      <c r="R83" s="47"/>
      <c r="S83" s="48">
        <v>1249</v>
      </c>
      <c r="T83" s="48">
        <f t="shared" si="3"/>
        <v>0</v>
      </c>
      <c r="U83" s="48">
        <f t="shared" si="3"/>
        <v>104916</v>
      </c>
      <c r="W83" s="65" t="s">
        <v>425</v>
      </c>
      <c r="X83" s="47">
        <v>2021</v>
      </c>
      <c r="Y83" s="61">
        <v>1021</v>
      </c>
      <c r="Z83" s="62"/>
      <c r="AA83" s="61">
        <v>2554</v>
      </c>
      <c r="AB83" s="61"/>
      <c r="AC83" s="61">
        <f t="shared" si="5"/>
        <v>2607634</v>
      </c>
      <c r="AD83" s="66">
        <f t="shared" si="6"/>
        <v>0</v>
      </c>
    </row>
    <row r="84" spans="14:30" ht="15.75" customHeight="1" x14ac:dyDescent="0.25">
      <c r="N84" s="46" t="s">
        <v>169</v>
      </c>
      <c r="O84" s="46" t="s">
        <v>402</v>
      </c>
      <c r="P84" s="47"/>
      <c r="Q84" s="48">
        <v>1302</v>
      </c>
      <c r="R84" s="47"/>
      <c r="S84" s="47">
        <v>472</v>
      </c>
      <c r="T84" s="48">
        <f t="shared" si="3"/>
        <v>0</v>
      </c>
      <c r="U84" s="48">
        <f t="shared" si="3"/>
        <v>614544</v>
      </c>
      <c r="W84" s="65" t="s">
        <v>425</v>
      </c>
      <c r="X84" s="47">
        <v>2022</v>
      </c>
      <c r="Y84" s="61">
        <v>975</v>
      </c>
      <c r="Z84" s="62"/>
      <c r="AA84" s="61">
        <v>3617</v>
      </c>
      <c r="AB84" s="61"/>
      <c r="AC84" s="61">
        <f t="shared" si="5"/>
        <v>3526575</v>
      </c>
      <c r="AD84" s="66">
        <f t="shared" si="6"/>
        <v>0</v>
      </c>
    </row>
    <row r="85" spans="14:30" ht="15.75" customHeight="1" x14ac:dyDescent="0.25">
      <c r="N85" s="46" t="s">
        <v>172</v>
      </c>
      <c r="O85" s="46" t="s">
        <v>402</v>
      </c>
      <c r="P85" s="47"/>
      <c r="Q85" s="48">
        <v>2810</v>
      </c>
      <c r="R85" s="47"/>
      <c r="S85" s="47">
        <v>786</v>
      </c>
      <c r="T85" s="48">
        <f t="shared" si="3"/>
        <v>0</v>
      </c>
      <c r="U85" s="48">
        <f t="shared" si="3"/>
        <v>2208660</v>
      </c>
      <c r="W85" s="65" t="s">
        <v>425</v>
      </c>
      <c r="X85" s="47">
        <v>2023</v>
      </c>
      <c r="Y85" s="61">
        <v>1151</v>
      </c>
      <c r="Z85" s="62"/>
      <c r="AA85" s="61">
        <v>3054</v>
      </c>
      <c r="AB85" s="61"/>
      <c r="AC85" s="61">
        <f t="shared" si="5"/>
        <v>3515154</v>
      </c>
      <c r="AD85" s="66">
        <f t="shared" si="6"/>
        <v>0</v>
      </c>
    </row>
    <row r="86" spans="14:30" ht="15.75" customHeight="1" x14ac:dyDescent="0.25">
      <c r="N86" s="51" t="s">
        <v>175</v>
      </c>
      <c r="O86" s="51" t="s">
        <v>53</v>
      </c>
      <c r="P86" s="52"/>
      <c r="Q86" s="52"/>
      <c r="R86" s="52"/>
      <c r="S86" s="52"/>
      <c r="T86" s="48">
        <f t="shared" si="3"/>
        <v>0</v>
      </c>
      <c r="U86" s="48">
        <f t="shared" si="3"/>
        <v>0</v>
      </c>
      <c r="W86" s="65" t="s">
        <v>425</v>
      </c>
      <c r="X86" s="47">
        <v>2024</v>
      </c>
      <c r="Y86" s="61">
        <v>851</v>
      </c>
      <c r="Z86" s="62"/>
      <c r="AA86" s="61">
        <v>2553</v>
      </c>
      <c r="AB86" s="61"/>
      <c r="AC86" s="61">
        <f t="shared" si="5"/>
        <v>2172603</v>
      </c>
      <c r="AD86" s="66">
        <f t="shared" si="6"/>
        <v>0</v>
      </c>
    </row>
    <row r="87" spans="14:30" ht="15.75" customHeight="1" x14ac:dyDescent="0.25">
      <c r="N87" s="51" t="s">
        <v>179</v>
      </c>
      <c r="O87" s="51" t="s">
        <v>402</v>
      </c>
      <c r="P87" s="52">
        <v>596</v>
      </c>
      <c r="Q87" s="52"/>
      <c r="R87" s="52"/>
      <c r="S87" s="52"/>
      <c r="T87" s="48">
        <f t="shared" si="3"/>
        <v>0</v>
      </c>
      <c r="U87" s="48">
        <f t="shared" si="3"/>
        <v>0</v>
      </c>
      <c r="W87" s="65" t="s">
        <v>426</v>
      </c>
      <c r="X87" s="47">
        <v>2021</v>
      </c>
      <c r="Y87" s="61">
        <v>549</v>
      </c>
      <c r="Z87" s="61">
        <v>861</v>
      </c>
      <c r="AA87" s="61">
        <v>569</v>
      </c>
      <c r="AB87" s="61">
        <v>609</v>
      </c>
      <c r="AC87" s="61">
        <f t="shared" si="5"/>
        <v>312381</v>
      </c>
      <c r="AD87" s="66">
        <f t="shared" si="6"/>
        <v>524349</v>
      </c>
    </row>
    <row r="88" spans="14:30" ht="15.75" customHeight="1" x14ac:dyDescent="0.25">
      <c r="N88" s="51" t="s">
        <v>179</v>
      </c>
      <c r="O88" s="51" t="s">
        <v>402</v>
      </c>
      <c r="P88" s="52"/>
      <c r="Q88" s="52"/>
      <c r="R88" s="52"/>
      <c r="S88" s="52"/>
      <c r="T88" s="48">
        <f t="shared" si="3"/>
        <v>0</v>
      </c>
      <c r="U88" s="48">
        <f t="shared" si="3"/>
        <v>0</v>
      </c>
      <c r="W88" s="65" t="s">
        <v>426</v>
      </c>
      <c r="X88" s="47">
        <v>2022</v>
      </c>
      <c r="Y88" s="61">
        <v>492</v>
      </c>
      <c r="Z88" s="61">
        <v>1756</v>
      </c>
      <c r="AA88" s="61">
        <v>1282</v>
      </c>
      <c r="AB88" s="61">
        <v>727</v>
      </c>
      <c r="AC88" s="61">
        <f t="shared" si="5"/>
        <v>630744</v>
      </c>
      <c r="AD88" s="66">
        <f t="shared" si="6"/>
        <v>1276612</v>
      </c>
    </row>
    <row r="89" spans="14:30" ht="15.75" customHeight="1" x14ac:dyDescent="0.25">
      <c r="N89" s="51" t="s">
        <v>134</v>
      </c>
      <c r="O89" s="51" t="s">
        <v>402</v>
      </c>
      <c r="P89" s="52"/>
      <c r="Q89" s="52"/>
      <c r="R89" s="52"/>
      <c r="S89" s="52"/>
      <c r="T89" s="48">
        <f t="shared" si="3"/>
        <v>0</v>
      </c>
      <c r="U89" s="48">
        <f t="shared" si="3"/>
        <v>0</v>
      </c>
      <c r="W89" s="65" t="s">
        <v>426</v>
      </c>
      <c r="X89" s="47">
        <v>2023</v>
      </c>
      <c r="Y89" s="61">
        <v>190</v>
      </c>
      <c r="Z89" s="61">
        <v>612</v>
      </c>
      <c r="AA89" s="61">
        <v>1274</v>
      </c>
      <c r="AB89" s="61">
        <v>868</v>
      </c>
      <c r="AC89" s="61">
        <f t="shared" si="5"/>
        <v>242060</v>
      </c>
      <c r="AD89" s="66">
        <f t="shared" si="6"/>
        <v>531216</v>
      </c>
    </row>
    <row r="90" spans="14:30" ht="15.75" customHeight="1" x14ac:dyDescent="0.25">
      <c r="N90" s="51" t="s">
        <v>134</v>
      </c>
      <c r="O90" s="51" t="s">
        <v>402</v>
      </c>
      <c r="P90" s="52"/>
      <c r="Q90" s="52"/>
      <c r="R90" s="52"/>
      <c r="S90" s="52"/>
      <c r="T90" s="48">
        <f t="shared" si="3"/>
        <v>0</v>
      </c>
      <c r="U90" s="48">
        <f t="shared" si="3"/>
        <v>0</v>
      </c>
      <c r="W90" s="65" t="s">
        <v>426</v>
      </c>
      <c r="X90" s="47">
        <v>2024</v>
      </c>
      <c r="Y90" s="61">
        <v>191</v>
      </c>
      <c r="Z90" s="61">
        <v>921</v>
      </c>
      <c r="AA90" s="61">
        <v>1516</v>
      </c>
      <c r="AB90" s="61">
        <v>1016</v>
      </c>
      <c r="AC90" s="61">
        <f t="shared" si="5"/>
        <v>289556</v>
      </c>
      <c r="AD90" s="66">
        <f t="shared" si="6"/>
        <v>935736</v>
      </c>
    </row>
    <row r="91" spans="14:30" ht="15.75" customHeight="1" x14ac:dyDescent="0.25">
      <c r="N91" s="46" t="s">
        <v>190</v>
      </c>
      <c r="O91" s="46" t="s">
        <v>402</v>
      </c>
      <c r="P91" s="47"/>
      <c r="Q91" s="48">
        <v>8633</v>
      </c>
      <c r="R91" s="47"/>
      <c r="S91" s="48">
        <v>2525</v>
      </c>
      <c r="T91" s="48">
        <f t="shared" si="3"/>
        <v>0</v>
      </c>
      <c r="U91" s="48">
        <f t="shared" si="3"/>
        <v>21798325</v>
      </c>
      <c r="W91" s="65" t="s">
        <v>427</v>
      </c>
      <c r="X91" s="47">
        <v>2021</v>
      </c>
      <c r="Y91" s="61">
        <v>411</v>
      </c>
      <c r="Z91" s="62">
        <v>8</v>
      </c>
      <c r="AA91" s="61">
        <v>1893</v>
      </c>
      <c r="AB91" s="61"/>
      <c r="AC91" s="61">
        <f t="shared" si="5"/>
        <v>778023</v>
      </c>
      <c r="AD91" s="66">
        <f t="shared" si="6"/>
        <v>0</v>
      </c>
    </row>
    <row r="92" spans="14:30" ht="15.75" customHeight="1" x14ac:dyDescent="0.25">
      <c r="N92" s="51" t="s">
        <v>193</v>
      </c>
      <c r="O92" s="51" t="s">
        <v>53</v>
      </c>
      <c r="P92" s="52"/>
      <c r="Q92" s="52"/>
      <c r="R92" s="52"/>
      <c r="S92" s="52"/>
      <c r="T92" s="48">
        <f t="shared" si="3"/>
        <v>0</v>
      </c>
      <c r="U92" s="48">
        <f t="shared" si="3"/>
        <v>0</v>
      </c>
      <c r="W92" s="65" t="s">
        <v>427</v>
      </c>
      <c r="X92" s="47">
        <v>2022</v>
      </c>
      <c r="Y92" s="61">
        <v>351</v>
      </c>
      <c r="Z92" s="62">
        <v>2</v>
      </c>
      <c r="AA92" s="61">
        <v>2683</v>
      </c>
      <c r="AB92" s="61"/>
      <c r="AC92" s="61">
        <f t="shared" si="5"/>
        <v>941733</v>
      </c>
      <c r="AD92" s="66">
        <f t="shared" si="6"/>
        <v>0</v>
      </c>
    </row>
    <row r="93" spans="14:30" ht="15.75" customHeight="1" x14ac:dyDescent="0.25">
      <c r="N93" s="46" t="s">
        <v>196</v>
      </c>
      <c r="O93" s="46" t="s">
        <v>402</v>
      </c>
      <c r="P93" s="47"/>
      <c r="Q93" s="48">
        <v>1872</v>
      </c>
      <c r="R93" s="47"/>
      <c r="S93" s="47">
        <v>994</v>
      </c>
      <c r="T93" s="48">
        <f t="shared" si="3"/>
        <v>0</v>
      </c>
      <c r="U93" s="48">
        <f t="shared" si="3"/>
        <v>1860768</v>
      </c>
      <c r="W93" s="65" t="s">
        <v>427</v>
      </c>
      <c r="X93" s="47">
        <v>2023</v>
      </c>
      <c r="Y93" s="61">
        <v>424</v>
      </c>
      <c r="Z93" s="62">
        <v>7</v>
      </c>
      <c r="AA93" s="61">
        <v>1109</v>
      </c>
      <c r="AB93" s="61"/>
      <c r="AC93" s="61">
        <f t="shared" si="5"/>
        <v>470216</v>
      </c>
      <c r="AD93" s="66">
        <f t="shared" si="6"/>
        <v>0</v>
      </c>
    </row>
    <row r="94" spans="14:30" ht="15.75" customHeight="1" x14ac:dyDescent="0.25">
      <c r="N94" s="46" t="s">
        <v>199</v>
      </c>
      <c r="O94" s="46" t="s">
        <v>402</v>
      </c>
      <c r="P94" s="47">
        <v>88</v>
      </c>
      <c r="Q94" s="48">
        <v>11893</v>
      </c>
      <c r="R94" s="48">
        <v>4140</v>
      </c>
      <c r="S94" s="48">
        <v>2378</v>
      </c>
      <c r="T94" s="48">
        <f t="shared" si="3"/>
        <v>364320</v>
      </c>
      <c r="U94" s="48">
        <f t="shared" si="3"/>
        <v>28281554</v>
      </c>
      <c r="W94" s="65" t="s">
        <v>427</v>
      </c>
      <c r="X94" s="47">
        <v>2024</v>
      </c>
      <c r="Y94" s="61">
        <v>450</v>
      </c>
      <c r="Z94" s="62">
        <v>2</v>
      </c>
      <c r="AA94" s="61">
        <v>2163</v>
      </c>
      <c r="AB94" s="61"/>
      <c r="AC94" s="61">
        <f t="shared" si="5"/>
        <v>973350</v>
      </c>
      <c r="AD94" s="66">
        <f t="shared" si="6"/>
        <v>0</v>
      </c>
    </row>
    <row r="95" spans="14:30" ht="15.75" customHeight="1" x14ac:dyDescent="0.25">
      <c r="N95" s="46" t="s">
        <v>202</v>
      </c>
      <c r="O95" s="46" t="s">
        <v>402</v>
      </c>
      <c r="P95" s="55"/>
      <c r="Q95" s="48">
        <v>5226</v>
      </c>
      <c r="R95" s="47"/>
      <c r="S95" s="48">
        <v>2404</v>
      </c>
      <c r="T95" s="48">
        <f t="shared" si="3"/>
        <v>0</v>
      </c>
      <c r="U95" s="48">
        <f t="shared" si="3"/>
        <v>12563304</v>
      </c>
      <c r="W95" s="65" t="s">
        <v>428</v>
      </c>
      <c r="X95" s="47">
        <v>2021</v>
      </c>
      <c r="Y95" s="61">
        <v>33</v>
      </c>
      <c r="Z95" s="62">
        <v>1</v>
      </c>
      <c r="AA95" s="61"/>
      <c r="AB95" s="61"/>
      <c r="AC95" s="61">
        <f t="shared" si="5"/>
        <v>0</v>
      </c>
      <c r="AD95" s="66">
        <f t="shared" si="6"/>
        <v>0</v>
      </c>
    </row>
    <row r="96" spans="14:30" ht="15.75" customHeight="1" x14ac:dyDescent="0.25">
      <c r="N96" s="46" t="s">
        <v>205</v>
      </c>
      <c r="O96" s="46" t="s">
        <v>403</v>
      </c>
      <c r="P96" s="47"/>
      <c r="Q96" s="47">
        <v>136</v>
      </c>
      <c r="R96" s="47"/>
      <c r="S96" s="48">
        <v>1327</v>
      </c>
      <c r="T96" s="48">
        <f t="shared" ref="T96:U159" si="7">P96*R96</f>
        <v>0</v>
      </c>
      <c r="U96" s="48">
        <f t="shared" si="7"/>
        <v>180472</v>
      </c>
      <c r="W96" s="65" t="s">
        <v>428</v>
      </c>
      <c r="X96" s="47">
        <v>2022</v>
      </c>
      <c r="Y96" s="61">
        <v>26</v>
      </c>
      <c r="Z96" s="62"/>
      <c r="AA96" s="61"/>
      <c r="AB96" s="61"/>
      <c r="AC96" s="61">
        <f t="shared" si="5"/>
        <v>0</v>
      </c>
      <c r="AD96" s="66">
        <f t="shared" si="6"/>
        <v>0</v>
      </c>
    </row>
    <row r="97" spans="14:30" ht="15.75" customHeight="1" x14ac:dyDescent="0.25">
      <c r="N97" s="46" t="s">
        <v>208</v>
      </c>
      <c r="O97" s="46" t="s">
        <v>53</v>
      </c>
      <c r="P97" s="47"/>
      <c r="Q97" s="47">
        <v>915</v>
      </c>
      <c r="R97" s="47"/>
      <c r="S97" s="48">
        <v>1878</v>
      </c>
      <c r="T97" s="48">
        <f t="shared" si="7"/>
        <v>0</v>
      </c>
      <c r="U97" s="48">
        <f t="shared" si="7"/>
        <v>1718370</v>
      </c>
      <c r="W97" s="65" t="s">
        <v>428</v>
      </c>
      <c r="X97" s="47">
        <v>2023</v>
      </c>
      <c r="Y97" s="61">
        <v>58</v>
      </c>
      <c r="Z97" s="62"/>
      <c r="AA97" s="61"/>
      <c r="AB97" s="61"/>
      <c r="AC97" s="61">
        <f t="shared" si="5"/>
        <v>0</v>
      </c>
      <c r="AD97" s="66">
        <f t="shared" si="6"/>
        <v>0</v>
      </c>
    </row>
    <row r="98" spans="14:30" ht="15.75" customHeight="1" x14ac:dyDescent="0.25">
      <c r="N98" s="46" t="s">
        <v>211</v>
      </c>
      <c r="O98" s="46" t="s">
        <v>53</v>
      </c>
      <c r="P98" s="48">
        <v>6054</v>
      </c>
      <c r="Q98" s="47">
        <v>212</v>
      </c>
      <c r="R98" s="48">
        <v>1399</v>
      </c>
      <c r="S98" s="48">
        <v>1658</v>
      </c>
      <c r="T98" s="48">
        <f t="shared" si="7"/>
        <v>8469546</v>
      </c>
      <c r="U98" s="48">
        <f t="shared" si="7"/>
        <v>351496</v>
      </c>
      <c r="W98" s="65" t="s">
        <v>428</v>
      </c>
      <c r="X98" s="47">
        <v>2024</v>
      </c>
      <c r="Y98" s="61">
        <v>44</v>
      </c>
      <c r="Z98" s="62">
        <v>1</v>
      </c>
      <c r="AA98" s="61"/>
      <c r="AB98" s="61"/>
      <c r="AC98" s="61">
        <f t="shared" si="5"/>
        <v>0</v>
      </c>
      <c r="AD98" s="66">
        <f t="shared" si="6"/>
        <v>0</v>
      </c>
    </row>
    <row r="99" spans="14:30" ht="15.75" customHeight="1" x14ac:dyDescent="0.25">
      <c r="N99" s="46" t="s">
        <v>214</v>
      </c>
      <c r="O99" s="46" t="s">
        <v>53</v>
      </c>
      <c r="P99" s="47"/>
      <c r="Q99" s="48">
        <v>4477</v>
      </c>
      <c r="R99" s="47"/>
      <c r="S99" s="48">
        <v>1765</v>
      </c>
      <c r="T99" s="48">
        <f t="shared" si="7"/>
        <v>0</v>
      </c>
      <c r="U99" s="48">
        <f t="shared" si="7"/>
        <v>7901905</v>
      </c>
      <c r="W99" s="65" t="s">
        <v>429</v>
      </c>
      <c r="X99" s="47">
        <v>2021</v>
      </c>
      <c r="Y99" s="61">
        <v>147100</v>
      </c>
      <c r="Z99" s="62"/>
      <c r="AA99" s="61">
        <v>771</v>
      </c>
      <c r="AB99" s="61"/>
      <c r="AC99" s="61">
        <f t="shared" si="5"/>
        <v>113414100</v>
      </c>
      <c r="AD99" s="66">
        <f t="shared" si="6"/>
        <v>0</v>
      </c>
    </row>
    <row r="100" spans="14:30" ht="15.75" customHeight="1" x14ac:dyDescent="0.25">
      <c r="N100" s="46" t="s">
        <v>217</v>
      </c>
      <c r="O100" s="46" t="s">
        <v>402</v>
      </c>
      <c r="P100" s="47">
        <v>541</v>
      </c>
      <c r="Q100" s="48">
        <v>6651</v>
      </c>
      <c r="R100" s="48">
        <v>2200</v>
      </c>
      <c r="S100" s="48">
        <v>2201</v>
      </c>
      <c r="T100" s="48">
        <f t="shared" si="7"/>
        <v>1190200</v>
      </c>
      <c r="U100" s="48">
        <f t="shared" si="7"/>
        <v>14638851</v>
      </c>
      <c r="W100" s="65" t="s">
        <v>429</v>
      </c>
      <c r="X100" s="47">
        <v>2022</v>
      </c>
      <c r="Y100" s="61">
        <v>164308</v>
      </c>
      <c r="Z100" s="62"/>
      <c r="AA100" s="61">
        <v>1108</v>
      </c>
      <c r="AB100" s="61"/>
      <c r="AC100" s="61">
        <f t="shared" si="5"/>
        <v>182053264</v>
      </c>
      <c r="AD100" s="66">
        <f t="shared" si="6"/>
        <v>0</v>
      </c>
    </row>
    <row r="101" spans="14:30" ht="15.75" customHeight="1" x14ac:dyDescent="0.25">
      <c r="N101" s="53" t="s">
        <v>220</v>
      </c>
      <c r="O101" s="53" t="s">
        <v>53</v>
      </c>
      <c r="P101" s="54"/>
      <c r="Q101" s="54"/>
      <c r="R101" s="54"/>
      <c r="S101" s="54"/>
      <c r="T101" s="48">
        <f t="shared" si="7"/>
        <v>0</v>
      </c>
      <c r="U101" s="48">
        <f t="shared" si="7"/>
        <v>0</v>
      </c>
      <c r="W101" s="65" t="s">
        <v>429</v>
      </c>
      <c r="X101" s="47">
        <v>2023</v>
      </c>
      <c r="Y101" s="61">
        <v>149829</v>
      </c>
      <c r="Z101" s="62"/>
      <c r="AA101" s="61">
        <v>899</v>
      </c>
      <c r="AB101" s="61"/>
      <c r="AC101" s="61">
        <f t="shared" si="5"/>
        <v>134696271</v>
      </c>
      <c r="AD101" s="66">
        <f t="shared" si="6"/>
        <v>0</v>
      </c>
    </row>
    <row r="102" spans="14:30" ht="15.75" customHeight="1" x14ac:dyDescent="0.25">
      <c r="N102" s="46" t="s">
        <v>222</v>
      </c>
      <c r="O102" s="46" t="s">
        <v>53</v>
      </c>
      <c r="P102" s="47"/>
      <c r="Q102" s="48">
        <v>55325</v>
      </c>
      <c r="R102" s="47"/>
      <c r="S102" s="47">
        <v>558</v>
      </c>
      <c r="T102" s="48">
        <f t="shared" si="7"/>
        <v>0</v>
      </c>
      <c r="U102" s="48">
        <f t="shared" si="7"/>
        <v>30871350</v>
      </c>
      <c r="W102" s="65" t="s">
        <v>429</v>
      </c>
      <c r="X102" s="47">
        <v>2024</v>
      </c>
      <c r="Y102" s="61">
        <v>84149</v>
      </c>
      <c r="Z102" s="62"/>
      <c r="AA102" s="61">
        <v>888</v>
      </c>
      <c r="AB102" s="61"/>
      <c r="AC102" s="61">
        <f t="shared" si="5"/>
        <v>74724312</v>
      </c>
      <c r="AD102" s="66">
        <f t="shared" si="6"/>
        <v>0</v>
      </c>
    </row>
    <row r="103" spans="14:30" ht="15.75" customHeight="1" x14ac:dyDescent="0.25">
      <c r="N103" s="46" t="s">
        <v>223</v>
      </c>
      <c r="O103" s="46" t="s">
        <v>404</v>
      </c>
      <c r="P103" s="47"/>
      <c r="Q103" s="48">
        <v>43300</v>
      </c>
      <c r="R103" s="47"/>
      <c r="S103" s="47">
        <v>946</v>
      </c>
      <c r="T103" s="48">
        <f t="shared" si="7"/>
        <v>0</v>
      </c>
      <c r="U103" s="48">
        <f t="shared" si="7"/>
        <v>40961800</v>
      </c>
      <c r="W103" s="65" t="s">
        <v>131</v>
      </c>
      <c r="X103" s="47">
        <v>2021</v>
      </c>
      <c r="Y103" s="61">
        <v>764</v>
      </c>
      <c r="Z103" s="62"/>
      <c r="AA103" s="61">
        <v>3147</v>
      </c>
      <c r="AB103" s="61"/>
      <c r="AC103" s="61">
        <f t="shared" si="5"/>
        <v>2404308</v>
      </c>
      <c r="AD103" s="66">
        <f t="shared" si="6"/>
        <v>0</v>
      </c>
    </row>
    <row r="104" spans="14:30" ht="15.75" customHeight="1" x14ac:dyDescent="0.25">
      <c r="N104" s="51" t="s">
        <v>223</v>
      </c>
      <c r="O104" s="51" t="s">
        <v>404</v>
      </c>
      <c r="P104" s="52"/>
      <c r="Q104" s="52"/>
      <c r="R104" s="52"/>
      <c r="S104" s="52"/>
      <c r="T104" s="48">
        <f t="shared" si="7"/>
        <v>0</v>
      </c>
      <c r="U104" s="48">
        <f t="shared" si="7"/>
        <v>0</v>
      </c>
      <c r="W104" s="65" t="s">
        <v>131</v>
      </c>
      <c r="X104" s="47">
        <v>2022</v>
      </c>
      <c r="Y104" s="61">
        <v>679</v>
      </c>
      <c r="Z104" s="62"/>
      <c r="AA104" s="61">
        <v>2245</v>
      </c>
      <c r="AB104" s="61"/>
      <c r="AC104" s="61">
        <f t="shared" si="5"/>
        <v>1524355</v>
      </c>
      <c r="AD104" s="66">
        <f t="shared" si="6"/>
        <v>0</v>
      </c>
    </row>
    <row r="105" spans="14:30" ht="15.75" customHeight="1" x14ac:dyDescent="0.25">
      <c r="N105" s="51" t="s">
        <v>223</v>
      </c>
      <c r="O105" s="51" t="s">
        <v>404</v>
      </c>
      <c r="P105" s="52"/>
      <c r="Q105" s="52"/>
      <c r="R105" s="52"/>
      <c r="S105" s="52"/>
      <c r="T105" s="48">
        <f t="shared" si="7"/>
        <v>0</v>
      </c>
      <c r="U105" s="48">
        <f t="shared" si="7"/>
        <v>0</v>
      </c>
      <c r="W105" s="65" t="s">
        <v>131</v>
      </c>
      <c r="X105" s="47">
        <v>2023</v>
      </c>
      <c r="Y105" s="61">
        <v>517</v>
      </c>
      <c r="Z105" s="62"/>
      <c r="AA105" s="61">
        <v>1941</v>
      </c>
      <c r="AB105" s="61"/>
      <c r="AC105" s="61">
        <f t="shared" si="5"/>
        <v>1003497</v>
      </c>
      <c r="AD105" s="66">
        <f t="shared" si="6"/>
        <v>0</v>
      </c>
    </row>
    <row r="106" spans="14:30" ht="15.75" customHeight="1" x14ac:dyDescent="0.25">
      <c r="N106" s="46" t="s">
        <v>224</v>
      </c>
      <c r="O106" s="46" t="s">
        <v>53</v>
      </c>
      <c r="P106" s="47"/>
      <c r="Q106" s="48">
        <v>11375</v>
      </c>
      <c r="R106" s="47"/>
      <c r="S106" s="48">
        <v>1673</v>
      </c>
      <c r="T106" s="48">
        <f t="shared" si="7"/>
        <v>0</v>
      </c>
      <c r="U106" s="48">
        <f t="shared" si="7"/>
        <v>19030375</v>
      </c>
      <c r="W106" s="65" t="s">
        <v>131</v>
      </c>
      <c r="X106" s="47">
        <v>2024</v>
      </c>
      <c r="Y106" s="61">
        <v>382</v>
      </c>
      <c r="Z106" s="62"/>
      <c r="AA106" s="61">
        <v>2345</v>
      </c>
      <c r="AB106" s="61"/>
      <c r="AC106" s="61">
        <f t="shared" si="5"/>
        <v>895790</v>
      </c>
      <c r="AD106" s="66">
        <f t="shared" si="6"/>
        <v>0</v>
      </c>
    </row>
    <row r="107" spans="14:30" ht="15.75" customHeight="1" x14ac:dyDescent="0.25">
      <c r="N107" s="46" t="s">
        <v>188</v>
      </c>
      <c r="O107" s="46" t="s">
        <v>53</v>
      </c>
      <c r="P107" s="47">
        <v>595</v>
      </c>
      <c r="Q107" s="47">
        <v>646</v>
      </c>
      <c r="R107" s="47">
        <v>850</v>
      </c>
      <c r="S107" s="47">
        <v>511</v>
      </c>
      <c r="T107" s="48">
        <f t="shared" si="7"/>
        <v>505750</v>
      </c>
      <c r="U107" s="48">
        <f t="shared" si="7"/>
        <v>330106</v>
      </c>
      <c r="W107" s="65" t="s">
        <v>430</v>
      </c>
      <c r="X107" s="47">
        <v>2021</v>
      </c>
      <c r="Y107" s="61">
        <v>16615</v>
      </c>
      <c r="Z107" s="61">
        <v>11</v>
      </c>
      <c r="AA107" s="61">
        <v>2142</v>
      </c>
      <c r="AB107" s="61"/>
      <c r="AC107" s="61">
        <f t="shared" si="5"/>
        <v>35589330</v>
      </c>
      <c r="AD107" s="66">
        <f t="shared" si="6"/>
        <v>0</v>
      </c>
    </row>
    <row r="108" spans="14:30" ht="15.75" customHeight="1" x14ac:dyDescent="0.25">
      <c r="N108" s="51" t="s">
        <v>188</v>
      </c>
      <c r="O108" s="51" t="s">
        <v>53</v>
      </c>
      <c r="P108" s="52"/>
      <c r="Q108" s="52"/>
      <c r="R108" s="52"/>
      <c r="S108" s="52"/>
      <c r="T108" s="48">
        <f t="shared" si="7"/>
        <v>0</v>
      </c>
      <c r="U108" s="48">
        <f t="shared" si="7"/>
        <v>0</v>
      </c>
      <c r="W108" s="65" t="s">
        <v>502</v>
      </c>
      <c r="X108" s="47">
        <v>2022</v>
      </c>
      <c r="Y108" s="61">
        <v>13553</v>
      </c>
      <c r="Z108" s="61">
        <v>1</v>
      </c>
      <c r="AA108" s="61">
        <v>2297</v>
      </c>
      <c r="AB108" s="61"/>
      <c r="AC108" s="61">
        <f t="shared" si="5"/>
        <v>31131241</v>
      </c>
      <c r="AD108" s="66">
        <f t="shared" si="6"/>
        <v>0</v>
      </c>
    </row>
    <row r="109" spans="14:30" ht="15.75" customHeight="1" x14ac:dyDescent="0.25">
      <c r="N109" s="51" t="s">
        <v>188</v>
      </c>
      <c r="O109" s="51" t="s">
        <v>53</v>
      </c>
      <c r="P109" s="52"/>
      <c r="Q109" s="52"/>
      <c r="R109" s="52"/>
      <c r="S109" s="52"/>
      <c r="T109" s="48">
        <f t="shared" si="7"/>
        <v>0</v>
      </c>
      <c r="U109" s="48">
        <f t="shared" si="7"/>
        <v>0</v>
      </c>
      <c r="W109" s="65" t="s">
        <v>503</v>
      </c>
      <c r="X109" s="47">
        <v>2023</v>
      </c>
      <c r="Y109" s="61">
        <v>13272</v>
      </c>
      <c r="Z109" s="61">
        <v>12</v>
      </c>
      <c r="AA109" s="61">
        <v>1703</v>
      </c>
      <c r="AB109" s="61"/>
      <c r="AC109" s="61">
        <f t="shared" si="5"/>
        <v>22602216</v>
      </c>
      <c r="AD109" s="66">
        <f t="shared" si="6"/>
        <v>0</v>
      </c>
    </row>
    <row r="110" spans="14:30" ht="15.75" customHeight="1" x14ac:dyDescent="0.25">
      <c r="N110" s="46" t="s">
        <v>225</v>
      </c>
      <c r="O110" s="46" t="s">
        <v>402</v>
      </c>
      <c r="P110" s="47"/>
      <c r="Q110" s="48">
        <v>280926</v>
      </c>
      <c r="R110" s="47"/>
      <c r="S110" s="47">
        <v>611</v>
      </c>
      <c r="T110" s="48">
        <f t="shared" si="7"/>
        <v>0</v>
      </c>
      <c r="U110" s="48">
        <f t="shared" si="7"/>
        <v>171645786</v>
      </c>
      <c r="W110" s="65" t="s">
        <v>504</v>
      </c>
      <c r="X110" s="47">
        <v>2024</v>
      </c>
      <c r="Y110" s="61">
        <v>16013</v>
      </c>
      <c r="Z110" s="61">
        <v>1</v>
      </c>
      <c r="AA110" s="61">
        <v>1812</v>
      </c>
      <c r="AB110" s="61"/>
      <c r="AC110" s="61">
        <f t="shared" si="5"/>
        <v>29015556</v>
      </c>
      <c r="AD110" s="66">
        <f t="shared" si="6"/>
        <v>0</v>
      </c>
    </row>
    <row r="111" spans="14:30" ht="15.75" customHeight="1" x14ac:dyDescent="0.25">
      <c r="N111" s="46" t="s">
        <v>226</v>
      </c>
      <c r="O111" s="46" t="s">
        <v>403</v>
      </c>
      <c r="P111" s="47"/>
      <c r="Q111" s="48">
        <v>768343</v>
      </c>
      <c r="R111" s="47"/>
      <c r="S111" s="47">
        <v>625</v>
      </c>
      <c r="T111" s="48">
        <f t="shared" si="7"/>
        <v>0</v>
      </c>
      <c r="U111" s="48">
        <f t="shared" si="7"/>
        <v>480214375</v>
      </c>
      <c r="W111" s="65" t="s">
        <v>431</v>
      </c>
      <c r="X111" s="47">
        <v>2021</v>
      </c>
      <c r="Y111" s="61">
        <v>2063</v>
      </c>
      <c r="Z111" s="62">
        <v>47</v>
      </c>
      <c r="AA111" s="61">
        <v>3079</v>
      </c>
      <c r="AB111" s="61"/>
      <c r="AC111" s="61">
        <f t="shared" ref="AC111:AC174" si="8">Y111*AA111</f>
        <v>6351977</v>
      </c>
      <c r="AD111" s="66">
        <f t="shared" ref="AD111:AD174" si="9">Z111*AB111</f>
        <v>0</v>
      </c>
    </row>
    <row r="112" spans="14:30" ht="15.75" customHeight="1" x14ac:dyDescent="0.25">
      <c r="N112" s="46" t="s">
        <v>227</v>
      </c>
      <c r="O112" s="46" t="s">
        <v>403</v>
      </c>
      <c r="P112" s="47"/>
      <c r="Q112" s="48">
        <v>1788</v>
      </c>
      <c r="R112" s="47"/>
      <c r="S112" s="48">
        <v>1893</v>
      </c>
      <c r="T112" s="48">
        <f t="shared" si="7"/>
        <v>0</v>
      </c>
      <c r="U112" s="48">
        <f t="shared" si="7"/>
        <v>3384684</v>
      </c>
      <c r="W112" s="65" t="s">
        <v>431</v>
      </c>
      <c r="X112" s="47">
        <v>2022</v>
      </c>
      <c r="Y112" s="61">
        <v>2325</v>
      </c>
      <c r="Z112" s="62">
        <v>26</v>
      </c>
      <c r="AA112" s="61">
        <v>5033</v>
      </c>
      <c r="AB112" s="61"/>
      <c r="AC112" s="61">
        <f t="shared" si="8"/>
        <v>11701725</v>
      </c>
      <c r="AD112" s="66">
        <f t="shared" si="9"/>
        <v>0</v>
      </c>
    </row>
    <row r="113" spans="14:30" ht="15.75" customHeight="1" x14ac:dyDescent="0.25">
      <c r="N113" s="53" t="s">
        <v>228</v>
      </c>
      <c r="O113" s="53" t="s">
        <v>53</v>
      </c>
      <c r="P113" s="54"/>
      <c r="Q113" s="54"/>
      <c r="R113" s="54"/>
      <c r="S113" s="54"/>
      <c r="T113" s="48">
        <f t="shared" si="7"/>
        <v>0</v>
      </c>
      <c r="U113" s="48">
        <f t="shared" si="7"/>
        <v>0</v>
      </c>
      <c r="W113" s="65" t="s">
        <v>431</v>
      </c>
      <c r="X113" s="47">
        <v>2023</v>
      </c>
      <c r="Y113" s="61">
        <v>2146</v>
      </c>
      <c r="Z113" s="62">
        <v>19</v>
      </c>
      <c r="AA113" s="61">
        <v>4198</v>
      </c>
      <c r="AB113" s="61"/>
      <c r="AC113" s="61">
        <f t="shared" si="8"/>
        <v>9008908</v>
      </c>
      <c r="AD113" s="66">
        <f t="shared" si="9"/>
        <v>0</v>
      </c>
    </row>
    <row r="114" spans="14:30" ht="15.75" customHeight="1" x14ac:dyDescent="0.25">
      <c r="N114" s="46" t="s">
        <v>229</v>
      </c>
      <c r="O114" s="46" t="s">
        <v>402</v>
      </c>
      <c r="P114" s="47"/>
      <c r="Q114" s="47">
        <v>104</v>
      </c>
      <c r="R114" s="47"/>
      <c r="S114" s="48">
        <v>2036</v>
      </c>
      <c r="T114" s="48">
        <f t="shared" si="7"/>
        <v>0</v>
      </c>
      <c r="U114" s="48">
        <f t="shared" si="7"/>
        <v>211744</v>
      </c>
      <c r="W114" s="65" t="s">
        <v>431</v>
      </c>
      <c r="X114" s="47">
        <v>2024</v>
      </c>
      <c r="Y114" s="61">
        <v>1634</v>
      </c>
      <c r="Z114" s="62">
        <v>21</v>
      </c>
      <c r="AA114" s="61">
        <v>4464</v>
      </c>
      <c r="AB114" s="61"/>
      <c r="AC114" s="61">
        <f t="shared" si="8"/>
        <v>7294176</v>
      </c>
      <c r="AD114" s="66">
        <f t="shared" si="9"/>
        <v>0</v>
      </c>
    </row>
    <row r="115" spans="14:30" ht="15.75" customHeight="1" x14ac:dyDescent="0.25">
      <c r="N115" s="46" t="s">
        <v>230</v>
      </c>
      <c r="O115" s="46" t="s">
        <v>403</v>
      </c>
      <c r="P115" s="47"/>
      <c r="Q115" s="48">
        <v>14168</v>
      </c>
      <c r="R115" s="47"/>
      <c r="S115" s="48">
        <v>1759</v>
      </c>
      <c r="T115" s="48">
        <f t="shared" si="7"/>
        <v>0</v>
      </c>
      <c r="U115" s="48">
        <f t="shared" si="7"/>
        <v>24921512</v>
      </c>
      <c r="W115" s="65" t="s">
        <v>432</v>
      </c>
      <c r="X115" s="47">
        <v>2021</v>
      </c>
      <c r="Y115" s="61">
        <v>66</v>
      </c>
      <c r="Z115" s="61">
        <v>12671</v>
      </c>
      <c r="AA115" s="61"/>
      <c r="AB115" s="61">
        <v>1603</v>
      </c>
      <c r="AC115" s="61">
        <f t="shared" si="8"/>
        <v>0</v>
      </c>
      <c r="AD115" s="66">
        <f t="shared" si="9"/>
        <v>20311613</v>
      </c>
    </row>
    <row r="116" spans="14:30" ht="15.75" customHeight="1" x14ac:dyDescent="0.25">
      <c r="N116" s="46" t="s">
        <v>231</v>
      </c>
      <c r="O116" s="46" t="s">
        <v>403</v>
      </c>
      <c r="P116" s="47"/>
      <c r="Q116" s="47">
        <v>60</v>
      </c>
      <c r="R116" s="47"/>
      <c r="S116" s="48">
        <v>3273</v>
      </c>
      <c r="T116" s="48">
        <f t="shared" si="7"/>
        <v>0</v>
      </c>
      <c r="U116" s="48">
        <f t="shared" si="7"/>
        <v>196380</v>
      </c>
      <c r="W116" s="65" t="s">
        <v>432</v>
      </c>
      <c r="X116" s="47">
        <v>2022</v>
      </c>
      <c r="Y116" s="61">
        <v>24</v>
      </c>
      <c r="Z116" s="61">
        <v>12742</v>
      </c>
      <c r="AA116" s="61"/>
      <c r="AB116" s="61">
        <v>1772</v>
      </c>
      <c r="AC116" s="61">
        <f t="shared" si="8"/>
        <v>0</v>
      </c>
      <c r="AD116" s="66">
        <f t="shared" si="9"/>
        <v>22578824</v>
      </c>
    </row>
    <row r="117" spans="14:30" ht="15.75" customHeight="1" x14ac:dyDescent="0.25">
      <c r="N117" s="46" t="s">
        <v>232</v>
      </c>
      <c r="O117" s="46" t="s">
        <v>53</v>
      </c>
      <c r="P117" s="47"/>
      <c r="Q117" s="48">
        <v>3528</v>
      </c>
      <c r="R117" s="47"/>
      <c r="S117" s="48">
        <v>1575</v>
      </c>
      <c r="T117" s="48">
        <f t="shared" si="7"/>
        <v>0</v>
      </c>
      <c r="U117" s="48">
        <f t="shared" si="7"/>
        <v>5556600</v>
      </c>
      <c r="W117" s="65" t="s">
        <v>432</v>
      </c>
      <c r="X117" s="47">
        <v>2023</v>
      </c>
      <c r="Y117" s="61">
        <v>194</v>
      </c>
      <c r="Z117" s="61">
        <v>3758</v>
      </c>
      <c r="AA117" s="61"/>
      <c r="AB117" s="61">
        <v>1527</v>
      </c>
      <c r="AC117" s="61">
        <f t="shared" si="8"/>
        <v>0</v>
      </c>
      <c r="AD117" s="66">
        <f t="shared" si="9"/>
        <v>5738466</v>
      </c>
    </row>
    <row r="118" spans="14:30" ht="15.75" customHeight="1" x14ac:dyDescent="0.25">
      <c r="N118" s="46" t="s">
        <v>233</v>
      </c>
      <c r="O118" s="46" t="s">
        <v>53</v>
      </c>
      <c r="P118" s="47"/>
      <c r="Q118" s="48">
        <v>3250</v>
      </c>
      <c r="R118" s="47"/>
      <c r="S118" s="48">
        <v>1255</v>
      </c>
      <c r="T118" s="48">
        <f t="shared" si="7"/>
        <v>0</v>
      </c>
      <c r="U118" s="48">
        <f t="shared" si="7"/>
        <v>4078750</v>
      </c>
      <c r="W118" s="65" t="s">
        <v>432</v>
      </c>
      <c r="X118" s="47">
        <v>2024</v>
      </c>
      <c r="Y118" s="61">
        <v>4265</v>
      </c>
      <c r="Z118" s="61">
        <v>5559</v>
      </c>
      <c r="AA118" s="61">
        <v>1962</v>
      </c>
      <c r="AB118" s="61">
        <v>1498</v>
      </c>
      <c r="AC118" s="61">
        <f t="shared" si="8"/>
        <v>8367930</v>
      </c>
      <c r="AD118" s="66">
        <f t="shared" si="9"/>
        <v>8327382</v>
      </c>
    </row>
    <row r="119" spans="14:30" ht="15.75" customHeight="1" x14ac:dyDescent="0.25">
      <c r="N119" s="46" t="s">
        <v>234</v>
      </c>
      <c r="O119" s="46" t="s">
        <v>402</v>
      </c>
      <c r="P119" s="47"/>
      <c r="Q119" s="48">
        <v>1196</v>
      </c>
      <c r="R119" s="47"/>
      <c r="S119" s="48">
        <v>2576</v>
      </c>
      <c r="T119" s="48">
        <f t="shared" si="7"/>
        <v>0</v>
      </c>
      <c r="U119" s="48">
        <f t="shared" si="7"/>
        <v>3080896</v>
      </c>
      <c r="W119" s="65" t="s">
        <v>87</v>
      </c>
      <c r="X119" s="47">
        <v>2021</v>
      </c>
      <c r="Y119" s="61">
        <v>164</v>
      </c>
      <c r="Z119" s="61">
        <v>26741</v>
      </c>
      <c r="AA119" s="61"/>
      <c r="AB119" s="63">
        <v>615</v>
      </c>
      <c r="AC119" s="61">
        <f t="shared" si="8"/>
        <v>0</v>
      </c>
      <c r="AD119" s="66">
        <f t="shared" si="9"/>
        <v>16445715</v>
      </c>
    </row>
    <row r="120" spans="14:30" ht="15.75" customHeight="1" x14ac:dyDescent="0.25">
      <c r="N120" s="46" t="s">
        <v>235</v>
      </c>
      <c r="O120" s="46" t="s">
        <v>404</v>
      </c>
      <c r="P120" s="48">
        <v>190633</v>
      </c>
      <c r="Q120" s="48">
        <v>1012</v>
      </c>
      <c r="R120" s="47">
        <v>313</v>
      </c>
      <c r="S120" s="47">
        <v>835</v>
      </c>
      <c r="T120" s="48">
        <f t="shared" si="7"/>
        <v>59668129</v>
      </c>
      <c r="U120" s="48">
        <f t="shared" si="7"/>
        <v>845020</v>
      </c>
      <c r="W120" s="65" t="s">
        <v>87</v>
      </c>
      <c r="X120" s="47">
        <v>2022</v>
      </c>
      <c r="Y120" s="61">
        <v>1</v>
      </c>
      <c r="Z120" s="61">
        <v>32642</v>
      </c>
      <c r="AA120" s="61"/>
      <c r="AB120" s="63">
        <v>1171</v>
      </c>
      <c r="AC120" s="61">
        <f t="shared" si="8"/>
        <v>0</v>
      </c>
      <c r="AD120" s="66">
        <f t="shared" si="9"/>
        <v>38223782</v>
      </c>
    </row>
    <row r="121" spans="14:30" ht="15.75" customHeight="1" x14ac:dyDescent="0.25">
      <c r="N121" s="51" t="s">
        <v>235</v>
      </c>
      <c r="O121" s="51" t="s">
        <v>404</v>
      </c>
      <c r="P121" s="52"/>
      <c r="Q121" s="52"/>
      <c r="R121" s="52"/>
      <c r="S121" s="52"/>
      <c r="T121" s="48">
        <f t="shared" si="7"/>
        <v>0</v>
      </c>
      <c r="U121" s="48">
        <f t="shared" si="7"/>
        <v>0</v>
      </c>
      <c r="W121" s="65" t="s">
        <v>87</v>
      </c>
      <c r="X121" s="47">
        <v>2023</v>
      </c>
      <c r="Y121" s="61">
        <v>2</v>
      </c>
      <c r="Z121" s="61">
        <v>15940</v>
      </c>
      <c r="AA121" s="61"/>
      <c r="AB121" s="63">
        <v>216</v>
      </c>
      <c r="AC121" s="61">
        <f t="shared" si="8"/>
        <v>0</v>
      </c>
      <c r="AD121" s="66">
        <f t="shared" si="9"/>
        <v>3443040</v>
      </c>
    </row>
    <row r="122" spans="14:30" ht="15.75" customHeight="1" x14ac:dyDescent="0.25">
      <c r="N122" s="53" t="s">
        <v>237</v>
      </c>
      <c r="O122" s="53" t="s">
        <v>403</v>
      </c>
      <c r="P122" s="54"/>
      <c r="Q122" s="54"/>
      <c r="R122" s="54"/>
      <c r="S122" s="54"/>
      <c r="T122" s="48">
        <f t="shared" si="7"/>
        <v>0</v>
      </c>
      <c r="U122" s="48">
        <f t="shared" si="7"/>
        <v>0</v>
      </c>
      <c r="W122" s="65" t="s">
        <v>87</v>
      </c>
      <c r="X122" s="47">
        <v>2024</v>
      </c>
      <c r="Y122" s="61">
        <v>1</v>
      </c>
      <c r="Z122" s="61">
        <v>31970</v>
      </c>
      <c r="AA122" s="61"/>
      <c r="AB122" s="63">
        <v>323</v>
      </c>
      <c r="AC122" s="61">
        <f t="shared" si="8"/>
        <v>0</v>
      </c>
      <c r="AD122" s="66">
        <f t="shared" si="9"/>
        <v>10326310</v>
      </c>
    </row>
    <row r="123" spans="14:30" ht="15.75" customHeight="1" x14ac:dyDescent="0.25">
      <c r="N123" s="46" t="s">
        <v>239</v>
      </c>
      <c r="O123" s="46" t="s">
        <v>402</v>
      </c>
      <c r="P123" s="47"/>
      <c r="Q123" s="48">
        <v>1735</v>
      </c>
      <c r="R123" s="47"/>
      <c r="S123" s="48">
        <v>2002</v>
      </c>
      <c r="T123" s="48">
        <f t="shared" si="7"/>
        <v>0</v>
      </c>
      <c r="U123" s="48">
        <f t="shared" si="7"/>
        <v>3473470</v>
      </c>
      <c r="W123" s="65" t="s">
        <v>433</v>
      </c>
      <c r="X123" s="47">
        <v>2021</v>
      </c>
      <c r="Y123" s="61">
        <v>698</v>
      </c>
      <c r="Z123" s="61"/>
      <c r="AA123" s="61">
        <v>1688</v>
      </c>
      <c r="AB123" s="61"/>
      <c r="AC123" s="61">
        <f t="shared" si="8"/>
        <v>1178224</v>
      </c>
      <c r="AD123" s="66">
        <f t="shared" si="9"/>
        <v>0</v>
      </c>
    </row>
    <row r="124" spans="14:30" ht="15.75" customHeight="1" x14ac:dyDescent="0.25">
      <c r="N124" s="53" t="s">
        <v>240</v>
      </c>
      <c r="O124" s="53" t="s">
        <v>403</v>
      </c>
      <c r="P124" s="54"/>
      <c r="Q124" s="54"/>
      <c r="R124" s="54"/>
      <c r="S124" s="54"/>
      <c r="T124" s="48">
        <f t="shared" si="7"/>
        <v>0</v>
      </c>
      <c r="U124" s="48">
        <f t="shared" si="7"/>
        <v>0</v>
      </c>
      <c r="W124" s="65" t="s">
        <v>433</v>
      </c>
      <c r="X124" s="47">
        <v>2022</v>
      </c>
      <c r="Y124" s="61">
        <v>771</v>
      </c>
      <c r="Z124" s="61"/>
      <c r="AA124" s="61">
        <v>2099</v>
      </c>
      <c r="AB124" s="61"/>
      <c r="AC124" s="61">
        <f t="shared" si="8"/>
        <v>1618329</v>
      </c>
      <c r="AD124" s="66">
        <f t="shared" si="9"/>
        <v>0</v>
      </c>
    </row>
    <row r="125" spans="14:30" ht="15.75" customHeight="1" x14ac:dyDescent="0.25">
      <c r="N125" s="46" t="s">
        <v>241</v>
      </c>
      <c r="O125" s="46" t="s">
        <v>402</v>
      </c>
      <c r="P125" s="47"/>
      <c r="Q125" s="47">
        <v>195</v>
      </c>
      <c r="R125" s="47"/>
      <c r="S125" s="48">
        <v>2488</v>
      </c>
      <c r="T125" s="48">
        <f t="shared" si="7"/>
        <v>0</v>
      </c>
      <c r="U125" s="48">
        <f t="shared" si="7"/>
        <v>485160</v>
      </c>
      <c r="W125" s="65" t="s">
        <v>433</v>
      </c>
      <c r="X125" s="47">
        <v>2023</v>
      </c>
      <c r="Y125" s="61">
        <v>703</v>
      </c>
      <c r="Z125" s="61"/>
      <c r="AA125" s="61">
        <v>2164</v>
      </c>
      <c r="AB125" s="61"/>
      <c r="AC125" s="61">
        <f t="shared" si="8"/>
        <v>1521292</v>
      </c>
      <c r="AD125" s="66">
        <f t="shared" si="9"/>
        <v>0</v>
      </c>
    </row>
    <row r="126" spans="14:30" ht="15.75" customHeight="1" x14ac:dyDescent="0.25">
      <c r="N126" s="46" t="s">
        <v>242</v>
      </c>
      <c r="O126" s="46" t="s">
        <v>403</v>
      </c>
      <c r="P126" s="47"/>
      <c r="Q126" s="48">
        <v>13789</v>
      </c>
      <c r="R126" s="47"/>
      <c r="S126" s="48">
        <v>2722</v>
      </c>
      <c r="T126" s="48">
        <f t="shared" si="7"/>
        <v>0</v>
      </c>
      <c r="U126" s="48">
        <f t="shared" si="7"/>
        <v>37533658</v>
      </c>
      <c r="W126" s="65" t="s">
        <v>433</v>
      </c>
      <c r="X126" s="47">
        <v>2024</v>
      </c>
      <c r="Y126" s="61">
        <v>886</v>
      </c>
      <c r="Z126" s="61"/>
      <c r="AA126" s="61">
        <v>1727</v>
      </c>
      <c r="AB126" s="61"/>
      <c r="AC126" s="61">
        <f t="shared" si="8"/>
        <v>1530122</v>
      </c>
      <c r="AD126" s="66">
        <f t="shared" si="9"/>
        <v>0</v>
      </c>
    </row>
    <row r="127" spans="14:30" ht="15.75" customHeight="1" x14ac:dyDescent="0.25">
      <c r="N127" s="46" t="s">
        <v>243</v>
      </c>
      <c r="O127" s="46" t="s">
        <v>403</v>
      </c>
      <c r="P127" s="47"/>
      <c r="Q127" s="48">
        <v>1996</v>
      </c>
      <c r="R127" s="47"/>
      <c r="S127" s="48">
        <v>2147</v>
      </c>
      <c r="T127" s="48">
        <f t="shared" si="7"/>
        <v>0</v>
      </c>
      <c r="U127" s="48">
        <f t="shared" si="7"/>
        <v>4285412</v>
      </c>
      <c r="W127" s="65" t="s">
        <v>434</v>
      </c>
      <c r="X127" s="47">
        <v>2021</v>
      </c>
      <c r="Y127" s="61">
        <v>2245</v>
      </c>
      <c r="Z127" s="61">
        <v>1</v>
      </c>
      <c r="AA127" s="61">
        <v>1122</v>
      </c>
      <c r="AB127" s="61"/>
      <c r="AC127" s="61">
        <f t="shared" si="8"/>
        <v>2518890</v>
      </c>
      <c r="AD127" s="66">
        <f t="shared" si="9"/>
        <v>0</v>
      </c>
    </row>
    <row r="128" spans="14:30" ht="15.75" customHeight="1" x14ac:dyDescent="0.25">
      <c r="N128" s="46" t="s">
        <v>244</v>
      </c>
      <c r="O128" s="46" t="s">
        <v>403</v>
      </c>
      <c r="P128" s="48">
        <v>14945</v>
      </c>
      <c r="Q128" s="47"/>
      <c r="R128" s="47">
        <v>789</v>
      </c>
      <c r="S128" s="47"/>
      <c r="T128" s="48">
        <f t="shared" si="7"/>
        <v>11791605</v>
      </c>
      <c r="U128" s="48">
        <f t="shared" si="7"/>
        <v>0</v>
      </c>
      <c r="W128" s="65" t="s">
        <v>434</v>
      </c>
      <c r="X128" s="47">
        <v>2022</v>
      </c>
      <c r="Y128" s="61">
        <v>1201</v>
      </c>
      <c r="Z128" s="61"/>
      <c r="AA128" s="61">
        <v>1519</v>
      </c>
      <c r="AB128" s="61"/>
      <c r="AC128" s="61">
        <f t="shared" si="8"/>
        <v>1824319</v>
      </c>
      <c r="AD128" s="66">
        <f t="shared" si="9"/>
        <v>0</v>
      </c>
    </row>
    <row r="129" spans="14:30" ht="15.75" customHeight="1" x14ac:dyDescent="0.25">
      <c r="N129" s="51" t="s">
        <v>244</v>
      </c>
      <c r="O129" s="51" t="s">
        <v>403</v>
      </c>
      <c r="P129" s="52"/>
      <c r="Q129" s="52"/>
      <c r="R129" s="52"/>
      <c r="S129" s="52"/>
      <c r="T129" s="48">
        <f t="shared" si="7"/>
        <v>0</v>
      </c>
      <c r="U129" s="48">
        <f t="shared" si="7"/>
        <v>0</v>
      </c>
      <c r="W129" s="65" t="s">
        <v>434</v>
      </c>
      <c r="X129" s="47">
        <v>2023</v>
      </c>
      <c r="Y129" s="61">
        <v>267</v>
      </c>
      <c r="Z129" s="61">
        <v>75</v>
      </c>
      <c r="AA129" s="61">
        <v>1333</v>
      </c>
      <c r="AB129" s="61">
        <v>1221</v>
      </c>
      <c r="AC129" s="61">
        <f t="shared" si="8"/>
        <v>355911</v>
      </c>
      <c r="AD129" s="66">
        <f t="shared" si="9"/>
        <v>91575</v>
      </c>
    </row>
    <row r="130" spans="14:30" ht="15.75" customHeight="1" x14ac:dyDescent="0.25">
      <c r="N130" s="51" t="s">
        <v>244</v>
      </c>
      <c r="O130" s="51" t="s">
        <v>403</v>
      </c>
      <c r="P130" s="52"/>
      <c r="Q130" s="52"/>
      <c r="R130" s="52"/>
      <c r="S130" s="52"/>
      <c r="T130" s="48">
        <f t="shared" si="7"/>
        <v>0</v>
      </c>
      <c r="U130" s="48">
        <f t="shared" si="7"/>
        <v>0</v>
      </c>
      <c r="W130" s="65" t="s">
        <v>434</v>
      </c>
      <c r="X130" s="47">
        <v>2024</v>
      </c>
      <c r="Y130" s="61">
        <v>585</v>
      </c>
      <c r="Z130" s="61">
        <v>25</v>
      </c>
      <c r="AA130" s="61">
        <v>1246</v>
      </c>
      <c r="AB130" s="61">
        <v>1055</v>
      </c>
      <c r="AC130" s="61">
        <f t="shared" si="8"/>
        <v>728910</v>
      </c>
      <c r="AD130" s="66">
        <f t="shared" si="9"/>
        <v>26375</v>
      </c>
    </row>
    <row r="131" spans="14:30" ht="15.75" customHeight="1" x14ac:dyDescent="0.25">
      <c r="N131" s="46" t="s">
        <v>246</v>
      </c>
      <c r="O131" s="46" t="s">
        <v>403</v>
      </c>
      <c r="P131" s="55"/>
      <c r="Q131" s="47">
        <v>254</v>
      </c>
      <c r="R131" s="47"/>
      <c r="S131" s="48">
        <v>1713</v>
      </c>
      <c r="T131" s="48">
        <f t="shared" si="7"/>
        <v>0</v>
      </c>
      <c r="U131" s="48">
        <f t="shared" si="7"/>
        <v>435102</v>
      </c>
      <c r="W131" s="65" t="s">
        <v>435</v>
      </c>
      <c r="X131" s="47">
        <v>2021</v>
      </c>
      <c r="Y131" s="61">
        <v>575</v>
      </c>
      <c r="Z131" s="61">
        <v>4468</v>
      </c>
      <c r="AA131" s="61">
        <v>1895</v>
      </c>
      <c r="AB131" s="63">
        <v>1779</v>
      </c>
      <c r="AC131" s="61">
        <f t="shared" si="8"/>
        <v>1089625</v>
      </c>
      <c r="AD131" s="66">
        <f t="shared" si="9"/>
        <v>7948572</v>
      </c>
    </row>
    <row r="132" spans="14:30" ht="15.75" customHeight="1" x14ac:dyDescent="0.25">
      <c r="N132" s="46" t="s">
        <v>247</v>
      </c>
      <c r="O132" s="46" t="s">
        <v>402</v>
      </c>
      <c r="P132" s="48">
        <v>28928</v>
      </c>
      <c r="Q132" s="48">
        <v>3930</v>
      </c>
      <c r="R132" s="48">
        <v>2000</v>
      </c>
      <c r="S132" s="48">
        <v>1800</v>
      </c>
      <c r="T132" s="48">
        <f t="shared" si="7"/>
        <v>57856000</v>
      </c>
      <c r="U132" s="48">
        <f t="shared" si="7"/>
        <v>7074000</v>
      </c>
      <c r="W132" s="65" t="s">
        <v>435</v>
      </c>
      <c r="X132" s="47">
        <v>2022</v>
      </c>
      <c r="Y132" s="61">
        <v>182</v>
      </c>
      <c r="Z132" s="61">
        <v>4924</v>
      </c>
      <c r="AA132" s="61">
        <v>2533</v>
      </c>
      <c r="AB132" s="63">
        <v>2314</v>
      </c>
      <c r="AC132" s="61">
        <f t="shared" si="8"/>
        <v>461006</v>
      </c>
      <c r="AD132" s="66">
        <f t="shared" si="9"/>
        <v>11394136</v>
      </c>
    </row>
    <row r="133" spans="14:30" ht="15.75" customHeight="1" x14ac:dyDescent="0.25">
      <c r="N133" s="46" t="s">
        <v>249</v>
      </c>
      <c r="O133" s="46" t="s">
        <v>402</v>
      </c>
      <c r="P133" s="48">
        <v>16885</v>
      </c>
      <c r="Q133" s="48">
        <v>16126</v>
      </c>
      <c r="R133" s="47">
        <v>384</v>
      </c>
      <c r="S133" s="47">
        <v>378</v>
      </c>
      <c r="T133" s="48">
        <f t="shared" si="7"/>
        <v>6483840</v>
      </c>
      <c r="U133" s="48">
        <f t="shared" si="7"/>
        <v>6095628</v>
      </c>
      <c r="W133" s="65" t="s">
        <v>435</v>
      </c>
      <c r="X133" s="47">
        <v>2023</v>
      </c>
      <c r="Y133" s="61">
        <v>96</v>
      </c>
      <c r="Z133" s="61">
        <v>4627</v>
      </c>
      <c r="AA133" s="61">
        <v>1884</v>
      </c>
      <c r="AB133" s="63">
        <v>1304</v>
      </c>
      <c r="AC133" s="61">
        <f t="shared" si="8"/>
        <v>180864</v>
      </c>
      <c r="AD133" s="66">
        <f t="shared" si="9"/>
        <v>6033608</v>
      </c>
    </row>
    <row r="134" spans="14:30" ht="15.75" customHeight="1" x14ac:dyDescent="0.25">
      <c r="N134" s="51" t="s">
        <v>249</v>
      </c>
      <c r="O134" s="51" t="s">
        <v>402</v>
      </c>
      <c r="P134" s="52"/>
      <c r="Q134" s="52"/>
      <c r="R134" s="52"/>
      <c r="S134" s="52"/>
      <c r="T134" s="48">
        <f t="shared" si="7"/>
        <v>0</v>
      </c>
      <c r="U134" s="48">
        <f t="shared" si="7"/>
        <v>0</v>
      </c>
      <c r="W134" s="65" t="s">
        <v>435</v>
      </c>
      <c r="X134" s="47">
        <v>2024</v>
      </c>
      <c r="Y134" s="61">
        <v>103</v>
      </c>
      <c r="Z134" s="61">
        <v>6659</v>
      </c>
      <c r="AA134" s="61">
        <v>1410</v>
      </c>
      <c r="AB134" s="63">
        <v>1157</v>
      </c>
      <c r="AC134" s="61">
        <f t="shared" si="8"/>
        <v>145230</v>
      </c>
      <c r="AD134" s="66">
        <f t="shared" si="9"/>
        <v>7704463</v>
      </c>
    </row>
    <row r="135" spans="14:30" ht="15.75" customHeight="1" x14ac:dyDescent="0.25">
      <c r="N135" s="46" t="s">
        <v>250</v>
      </c>
      <c r="O135" s="46" t="s">
        <v>53</v>
      </c>
      <c r="P135" s="47"/>
      <c r="Q135" s="47">
        <v>43</v>
      </c>
      <c r="R135" s="47"/>
      <c r="S135" s="48">
        <v>2910</v>
      </c>
      <c r="T135" s="48">
        <f t="shared" si="7"/>
        <v>0</v>
      </c>
      <c r="U135" s="48">
        <f t="shared" si="7"/>
        <v>125130</v>
      </c>
      <c r="W135" s="65" t="s">
        <v>90</v>
      </c>
      <c r="X135" s="47">
        <v>2021</v>
      </c>
      <c r="Y135" s="61">
        <v>2985</v>
      </c>
      <c r="Z135" s="61"/>
      <c r="AA135" s="61">
        <v>945</v>
      </c>
      <c r="AB135" s="64"/>
      <c r="AC135" s="61">
        <f t="shared" si="8"/>
        <v>2820825</v>
      </c>
      <c r="AD135" s="66">
        <f t="shared" si="9"/>
        <v>0</v>
      </c>
    </row>
    <row r="136" spans="14:30" ht="15.75" customHeight="1" x14ac:dyDescent="0.25">
      <c r="N136" s="46" t="s">
        <v>251</v>
      </c>
      <c r="O136" s="46" t="s">
        <v>402</v>
      </c>
      <c r="P136" s="47"/>
      <c r="Q136" s="48">
        <v>1000</v>
      </c>
      <c r="R136" s="47"/>
      <c r="S136" s="48">
        <v>3895</v>
      </c>
      <c r="T136" s="48">
        <f t="shared" si="7"/>
        <v>0</v>
      </c>
      <c r="U136" s="48">
        <f t="shared" si="7"/>
        <v>3895000</v>
      </c>
      <c r="W136" s="65" t="s">
        <v>90</v>
      </c>
      <c r="X136" s="47">
        <v>2022</v>
      </c>
      <c r="Y136" s="61">
        <v>3000</v>
      </c>
      <c r="Z136" s="61"/>
      <c r="AA136" s="61">
        <v>1082</v>
      </c>
      <c r="AB136" s="64"/>
      <c r="AC136" s="61">
        <f t="shared" si="8"/>
        <v>3246000</v>
      </c>
      <c r="AD136" s="66">
        <f t="shared" si="9"/>
        <v>0</v>
      </c>
    </row>
    <row r="137" spans="14:30" ht="15.75" customHeight="1" x14ac:dyDescent="0.25">
      <c r="N137" s="46" t="s">
        <v>252</v>
      </c>
      <c r="O137" s="46" t="s">
        <v>402</v>
      </c>
      <c r="P137" s="47">
        <v>116</v>
      </c>
      <c r="Q137" s="48">
        <v>3638</v>
      </c>
      <c r="R137" s="48">
        <v>2270</v>
      </c>
      <c r="S137" s="48">
        <v>3895</v>
      </c>
      <c r="T137" s="48">
        <f t="shared" si="7"/>
        <v>263320</v>
      </c>
      <c r="U137" s="48">
        <f t="shared" si="7"/>
        <v>14170010</v>
      </c>
      <c r="W137" s="65" t="s">
        <v>90</v>
      </c>
      <c r="X137" s="47">
        <v>2023</v>
      </c>
      <c r="Y137" s="61">
        <v>6591</v>
      </c>
      <c r="Z137" s="61">
        <v>5674</v>
      </c>
      <c r="AA137" s="61">
        <v>1169</v>
      </c>
      <c r="AB137" s="64">
        <v>830</v>
      </c>
      <c r="AC137" s="61">
        <f t="shared" si="8"/>
        <v>7704879</v>
      </c>
      <c r="AD137" s="66">
        <f t="shared" si="9"/>
        <v>4709420</v>
      </c>
    </row>
    <row r="138" spans="14:30" ht="15.75" customHeight="1" x14ac:dyDescent="0.25">
      <c r="N138" s="46" t="s">
        <v>254</v>
      </c>
      <c r="O138" s="46" t="s">
        <v>403</v>
      </c>
      <c r="P138" s="47"/>
      <c r="Q138" s="48">
        <v>15557</v>
      </c>
      <c r="R138" s="47"/>
      <c r="S138" s="48">
        <v>1394</v>
      </c>
      <c r="T138" s="48">
        <f t="shared" si="7"/>
        <v>0</v>
      </c>
      <c r="U138" s="48">
        <f t="shared" si="7"/>
        <v>21686458</v>
      </c>
      <c r="W138" s="65" t="s">
        <v>90</v>
      </c>
      <c r="X138" s="47">
        <v>2024</v>
      </c>
      <c r="Y138" s="61"/>
      <c r="Z138" s="61">
        <v>39150</v>
      </c>
      <c r="AA138" s="61"/>
      <c r="AB138" s="64">
        <v>917</v>
      </c>
      <c r="AC138" s="61">
        <f t="shared" si="8"/>
        <v>0</v>
      </c>
      <c r="AD138" s="66">
        <f t="shared" si="9"/>
        <v>35900550</v>
      </c>
    </row>
    <row r="139" spans="14:30" ht="15.75" customHeight="1" x14ac:dyDescent="0.25">
      <c r="N139" s="53" t="s">
        <v>255</v>
      </c>
      <c r="O139" s="53" t="s">
        <v>53</v>
      </c>
      <c r="P139" s="54"/>
      <c r="Q139" s="54"/>
      <c r="R139" s="54"/>
      <c r="S139" s="54"/>
      <c r="T139" s="48">
        <f t="shared" si="7"/>
        <v>0</v>
      </c>
      <c r="U139" s="48">
        <f t="shared" si="7"/>
        <v>0</v>
      </c>
      <c r="W139" s="65" t="s">
        <v>142</v>
      </c>
      <c r="X139" s="47">
        <v>2021</v>
      </c>
      <c r="Y139" s="61">
        <v>46</v>
      </c>
      <c r="Z139" s="61"/>
      <c r="AA139" s="61">
        <v>2574</v>
      </c>
      <c r="AB139" s="61"/>
      <c r="AC139" s="61">
        <f t="shared" si="8"/>
        <v>118404</v>
      </c>
      <c r="AD139" s="66">
        <f t="shared" si="9"/>
        <v>0</v>
      </c>
    </row>
    <row r="140" spans="14:30" ht="15.75" customHeight="1" x14ac:dyDescent="0.25">
      <c r="N140" s="46" t="s">
        <v>256</v>
      </c>
      <c r="O140" s="46" t="s">
        <v>53</v>
      </c>
      <c r="P140" s="47"/>
      <c r="Q140" s="48">
        <v>10249</v>
      </c>
      <c r="R140" s="47"/>
      <c r="S140" s="48">
        <v>2200</v>
      </c>
      <c r="T140" s="48">
        <f t="shared" si="7"/>
        <v>0</v>
      </c>
      <c r="U140" s="48">
        <f t="shared" si="7"/>
        <v>22547800</v>
      </c>
      <c r="W140" s="65" t="s">
        <v>142</v>
      </c>
      <c r="X140" s="47">
        <v>2022</v>
      </c>
      <c r="Y140" s="61">
        <v>20</v>
      </c>
      <c r="Z140" s="61">
        <v>1</v>
      </c>
      <c r="AA140" s="61">
        <v>2692</v>
      </c>
      <c r="AB140" s="61"/>
      <c r="AC140" s="61">
        <f t="shared" si="8"/>
        <v>53840</v>
      </c>
      <c r="AD140" s="66">
        <f t="shared" si="9"/>
        <v>0</v>
      </c>
    </row>
    <row r="141" spans="14:30" ht="15.75" customHeight="1" x14ac:dyDescent="0.25">
      <c r="N141" s="46" t="s">
        <v>257</v>
      </c>
      <c r="O141" s="46" t="s">
        <v>53</v>
      </c>
      <c r="P141" s="47"/>
      <c r="Q141" s="47">
        <v>576</v>
      </c>
      <c r="R141" s="47"/>
      <c r="S141" s="48">
        <v>1110</v>
      </c>
      <c r="T141" s="48">
        <f t="shared" si="7"/>
        <v>0</v>
      </c>
      <c r="U141" s="48">
        <f t="shared" si="7"/>
        <v>639360</v>
      </c>
      <c r="W141" s="65" t="s">
        <v>142</v>
      </c>
      <c r="X141" s="47">
        <v>2023</v>
      </c>
      <c r="Y141" s="61">
        <v>22</v>
      </c>
      <c r="Z141" s="61"/>
      <c r="AA141" s="61">
        <v>4014</v>
      </c>
      <c r="AB141" s="61"/>
      <c r="AC141" s="61">
        <f t="shared" si="8"/>
        <v>88308</v>
      </c>
      <c r="AD141" s="66">
        <f t="shared" si="9"/>
        <v>0</v>
      </c>
    </row>
    <row r="142" spans="14:30" ht="15.75" customHeight="1" x14ac:dyDescent="0.25">
      <c r="N142" s="46" t="s">
        <v>258</v>
      </c>
      <c r="O142" s="46" t="s">
        <v>53</v>
      </c>
      <c r="P142" s="47"/>
      <c r="Q142" s="48">
        <v>1218</v>
      </c>
      <c r="R142" s="47"/>
      <c r="S142" s="48">
        <v>1598</v>
      </c>
      <c r="T142" s="48">
        <f t="shared" si="7"/>
        <v>0</v>
      </c>
      <c r="U142" s="48">
        <f t="shared" si="7"/>
        <v>1946364</v>
      </c>
      <c r="W142" s="65" t="s">
        <v>142</v>
      </c>
      <c r="X142" s="47">
        <v>2024</v>
      </c>
      <c r="Y142" s="61">
        <v>25</v>
      </c>
      <c r="Z142" s="61"/>
      <c r="AA142" s="61">
        <v>2772</v>
      </c>
      <c r="AB142" s="61"/>
      <c r="AC142" s="61">
        <f t="shared" si="8"/>
        <v>69300</v>
      </c>
      <c r="AD142" s="66">
        <f t="shared" si="9"/>
        <v>0</v>
      </c>
    </row>
    <row r="143" spans="14:30" ht="15.75" customHeight="1" x14ac:dyDescent="0.25">
      <c r="N143" s="46" t="s">
        <v>259</v>
      </c>
      <c r="O143" s="46" t="s">
        <v>402</v>
      </c>
      <c r="P143" s="48">
        <v>93187</v>
      </c>
      <c r="Q143" s="48">
        <v>9985</v>
      </c>
      <c r="R143" s="47">
        <v>759</v>
      </c>
      <c r="S143" s="48">
        <v>1677</v>
      </c>
      <c r="T143" s="48">
        <f t="shared" si="7"/>
        <v>70728933</v>
      </c>
      <c r="U143" s="48">
        <f t="shared" si="7"/>
        <v>16744845</v>
      </c>
      <c r="W143" s="65" t="s">
        <v>94</v>
      </c>
      <c r="X143" s="47">
        <v>2021</v>
      </c>
      <c r="Y143" s="61">
        <v>36015</v>
      </c>
      <c r="Z143" s="61"/>
      <c r="AA143" s="61">
        <v>1418</v>
      </c>
      <c r="AB143" s="61"/>
      <c r="AC143" s="61">
        <f t="shared" si="8"/>
        <v>51069270</v>
      </c>
      <c r="AD143" s="66">
        <f t="shared" si="9"/>
        <v>0</v>
      </c>
    </row>
    <row r="144" spans="14:30" ht="15.75" customHeight="1" x14ac:dyDescent="0.25">
      <c r="N144" s="46" t="s">
        <v>178</v>
      </c>
      <c r="O144" s="46" t="s">
        <v>402</v>
      </c>
      <c r="P144" s="48">
        <v>8399</v>
      </c>
      <c r="Q144" s="48">
        <v>1867</v>
      </c>
      <c r="R144" s="48">
        <v>2633</v>
      </c>
      <c r="S144" s="48">
        <v>1573</v>
      </c>
      <c r="T144" s="48">
        <f t="shared" si="7"/>
        <v>22114567</v>
      </c>
      <c r="U144" s="48">
        <f t="shared" si="7"/>
        <v>2936791</v>
      </c>
      <c r="W144" s="65" t="s">
        <v>94</v>
      </c>
      <c r="X144" s="47">
        <v>2022</v>
      </c>
      <c r="Y144" s="61">
        <v>28405</v>
      </c>
      <c r="Z144" s="61"/>
      <c r="AA144" s="61">
        <v>1585</v>
      </c>
      <c r="AB144" s="61"/>
      <c r="AC144" s="61">
        <f t="shared" si="8"/>
        <v>45021925</v>
      </c>
      <c r="AD144" s="66">
        <f t="shared" si="9"/>
        <v>0</v>
      </c>
    </row>
    <row r="145" spans="14:30" ht="15.75" customHeight="1" x14ac:dyDescent="0.25">
      <c r="N145" s="46" t="s">
        <v>262</v>
      </c>
      <c r="O145" s="46" t="s">
        <v>402</v>
      </c>
      <c r="P145" s="47">
        <v>898</v>
      </c>
      <c r="Q145" s="48">
        <v>4507</v>
      </c>
      <c r="R145" s="48">
        <v>2667</v>
      </c>
      <c r="S145" s="48">
        <v>2070</v>
      </c>
      <c r="T145" s="48">
        <f t="shared" si="7"/>
        <v>2394966</v>
      </c>
      <c r="U145" s="48">
        <f t="shared" si="7"/>
        <v>9329490</v>
      </c>
      <c r="W145" s="65" t="s">
        <v>94</v>
      </c>
      <c r="X145" s="47">
        <v>2023</v>
      </c>
      <c r="Y145" s="61">
        <v>27295</v>
      </c>
      <c r="Z145" s="61"/>
      <c r="AA145" s="61">
        <v>807</v>
      </c>
      <c r="AB145" s="61"/>
      <c r="AC145" s="61">
        <f t="shared" si="8"/>
        <v>22027065</v>
      </c>
      <c r="AD145" s="66">
        <f t="shared" si="9"/>
        <v>0</v>
      </c>
    </row>
    <row r="146" spans="14:30" ht="15.75" customHeight="1" x14ac:dyDescent="0.25">
      <c r="N146" s="51" t="s">
        <v>262</v>
      </c>
      <c r="O146" s="51" t="s">
        <v>402</v>
      </c>
      <c r="P146" s="52"/>
      <c r="Q146" s="52"/>
      <c r="R146" s="52"/>
      <c r="S146" s="52"/>
      <c r="T146" s="48">
        <f t="shared" si="7"/>
        <v>0</v>
      </c>
      <c r="U146" s="48">
        <f t="shared" si="7"/>
        <v>0</v>
      </c>
      <c r="W146" s="65" t="s">
        <v>94</v>
      </c>
      <c r="X146" s="47">
        <v>2024</v>
      </c>
      <c r="Y146" s="61">
        <v>27765</v>
      </c>
      <c r="Z146" s="61"/>
      <c r="AA146" s="61">
        <v>1085</v>
      </c>
      <c r="AB146" s="61"/>
      <c r="AC146" s="61">
        <f t="shared" si="8"/>
        <v>30125025</v>
      </c>
      <c r="AD146" s="66">
        <f t="shared" si="9"/>
        <v>0</v>
      </c>
    </row>
    <row r="147" spans="14:30" ht="15.75" customHeight="1" x14ac:dyDescent="0.25">
      <c r="N147" s="46" t="s">
        <v>184</v>
      </c>
      <c r="O147" s="46" t="s">
        <v>402</v>
      </c>
      <c r="P147" s="47"/>
      <c r="Q147" s="47">
        <v>483</v>
      </c>
      <c r="R147" s="47"/>
      <c r="S147" s="48">
        <v>5076</v>
      </c>
      <c r="T147" s="48">
        <f t="shared" si="7"/>
        <v>0</v>
      </c>
      <c r="U147" s="48">
        <f t="shared" si="7"/>
        <v>2451708</v>
      </c>
      <c r="W147" s="65" t="s">
        <v>144</v>
      </c>
      <c r="X147" s="47">
        <v>2021</v>
      </c>
      <c r="Y147" s="61">
        <v>2288</v>
      </c>
      <c r="Z147" s="61">
        <v>13</v>
      </c>
      <c r="AA147" s="61">
        <v>1513</v>
      </c>
      <c r="AB147" s="61"/>
      <c r="AC147" s="61">
        <f t="shared" si="8"/>
        <v>3461744</v>
      </c>
      <c r="AD147" s="66">
        <f t="shared" si="9"/>
        <v>0</v>
      </c>
    </row>
    <row r="148" spans="14:30" ht="15.75" customHeight="1" x14ac:dyDescent="0.25">
      <c r="N148" s="46" t="s">
        <v>265</v>
      </c>
      <c r="O148" s="46" t="s">
        <v>402</v>
      </c>
      <c r="P148" s="48">
        <v>125319</v>
      </c>
      <c r="Q148" s="48">
        <v>88991</v>
      </c>
      <c r="R148" s="48">
        <v>1202</v>
      </c>
      <c r="S148" s="48">
        <v>1489</v>
      </c>
      <c r="T148" s="48">
        <f t="shared" si="7"/>
        <v>150633438</v>
      </c>
      <c r="U148" s="48">
        <f t="shared" si="7"/>
        <v>132507599</v>
      </c>
      <c r="W148" s="65" t="s">
        <v>144</v>
      </c>
      <c r="X148" s="47">
        <v>2022</v>
      </c>
      <c r="Y148" s="61">
        <v>2408</v>
      </c>
      <c r="Z148" s="61">
        <v>2</v>
      </c>
      <c r="AA148" s="61">
        <v>1624</v>
      </c>
      <c r="AB148" s="61"/>
      <c r="AC148" s="61">
        <f t="shared" si="8"/>
        <v>3910592</v>
      </c>
      <c r="AD148" s="66">
        <f t="shared" si="9"/>
        <v>0</v>
      </c>
    </row>
    <row r="149" spans="14:30" ht="15.75" customHeight="1" x14ac:dyDescent="0.25">
      <c r="N149" s="51" t="s">
        <v>265</v>
      </c>
      <c r="O149" s="51" t="s">
        <v>402</v>
      </c>
      <c r="P149" s="52"/>
      <c r="Q149" s="52"/>
      <c r="R149" s="52"/>
      <c r="S149" s="52"/>
      <c r="T149" s="48">
        <f t="shared" si="7"/>
        <v>0</v>
      </c>
      <c r="U149" s="48">
        <f t="shared" si="7"/>
        <v>0</v>
      </c>
      <c r="W149" s="65" t="s">
        <v>144</v>
      </c>
      <c r="X149" s="47">
        <v>2023</v>
      </c>
      <c r="Y149" s="61">
        <v>1717</v>
      </c>
      <c r="Z149" s="61">
        <v>7</v>
      </c>
      <c r="AA149" s="61">
        <v>1391</v>
      </c>
      <c r="AB149" s="61"/>
      <c r="AC149" s="61">
        <f t="shared" si="8"/>
        <v>2388347</v>
      </c>
      <c r="AD149" s="66">
        <f t="shared" si="9"/>
        <v>0</v>
      </c>
    </row>
    <row r="150" spans="14:30" ht="15.75" customHeight="1" x14ac:dyDescent="0.25">
      <c r="N150" s="51" t="s">
        <v>265</v>
      </c>
      <c r="O150" s="51" t="s">
        <v>402</v>
      </c>
      <c r="P150" s="52"/>
      <c r="Q150" s="52"/>
      <c r="R150" s="52"/>
      <c r="S150" s="52"/>
      <c r="T150" s="48">
        <f t="shared" si="7"/>
        <v>0</v>
      </c>
      <c r="U150" s="48">
        <f t="shared" si="7"/>
        <v>0</v>
      </c>
      <c r="W150" s="65" t="s">
        <v>144</v>
      </c>
      <c r="X150" s="47">
        <v>2024</v>
      </c>
      <c r="Y150" s="61">
        <v>1344</v>
      </c>
      <c r="Z150" s="61">
        <v>7</v>
      </c>
      <c r="AA150" s="61">
        <v>1363</v>
      </c>
      <c r="AB150" s="61"/>
      <c r="AC150" s="61">
        <f t="shared" si="8"/>
        <v>1831872</v>
      </c>
      <c r="AD150" s="66">
        <f t="shared" si="9"/>
        <v>0</v>
      </c>
    </row>
    <row r="151" spans="14:30" ht="15.75" customHeight="1" x14ac:dyDescent="0.25">
      <c r="N151" s="46" t="s">
        <v>266</v>
      </c>
      <c r="O151" s="46" t="s">
        <v>402</v>
      </c>
      <c r="P151" s="48">
        <v>27511</v>
      </c>
      <c r="Q151" s="48">
        <v>125823</v>
      </c>
      <c r="R151" s="48">
        <v>1185</v>
      </c>
      <c r="S151" s="48">
        <v>1439</v>
      </c>
      <c r="T151" s="48">
        <f t="shared" si="7"/>
        <v>32600535</v>
      </c>
      <c r="U151" s="48">
        <f t="shared" si="7"/>
        <v>181059297</v>
      </c>
      <c r="W151" s="65" t="s">
        <v>147</v>
      </c>
      <c r="X151" s="47">
        <v>2021</v>
      </c>
      <c r="Y151" s="61">
        <v>718</v>
      </c>
      <c r="Z151" s="61">
        <v>12</v>
      </c>
      <c r="AA151" s="61">
        <v>2049</v>
      </c>
      <c r="AB151" s="61"/>
      <c r="AC151" s="61">
        <f t="shared" si="8"/>
        <v>1471182</v>
      </c>
      <c r="AD151" s="66">
        <f t="shared" si="9"/>
        <v>0</v>
      </c>
    </row>
    <row r="152" spans="14:30" ht="15.75" customHeight="1" x14ac:dyDescent="0.25">
      <c r="N152" s="46" t="s">
        <v>267</v>
      </c>
      <c r="O152" s="46" t="s">
        <v>402</v>
      </c>
      <c r="P152" s="48">
        <v>122909</v>
      </c>
      <c r="Q152" s="48">
        <v>67134</v>
      </c>
      <c r="R152" s="48">
        <v>1140</v>
      </c>
      <c r="S152" s="48">
        <v>1508</v>
      </c>
      <c r="T152" s="48">
        <f t="shared" si="7"/>
        <v>140116260</v>
      </c>
      <c r="U152" s="48">
        <f t="shared" si="7"/>
        <v>101238072</v>
      </c>
      <c r="W152" s="65" t="s">
        <v>147</v>
      </c>
      <c r="X152" s="47">
        <v>2022</v>
      </c>
      <c r="Y152" s="61">
        <v>479</v>
      </c>
      <c r="Z152" s="61">
        <v>1</v>
      </c>
      <c r="AA152" s="61">
        <v>2384</v>
      </c>
      <c r="AB152" s="61"/>
      <c r="AC152" s="61">
        <f t="shared" si="8"/>
        <v>1141936</v>
      </c>
      <c r="AD152" s="66">
        <f t="shared" si="9"/>
        <v>0</v>
      </c>
    </row>
    <row r="153" spans="14:30" ht="15.75" customHeight="1" x14ac:dyDescent="0.25">
      <c r="N153" s="51" t="s">
        <v>267</v>
      </c>
      <c r="O153" s="51" t="s">
        <v>402</v>
      </c>
      <c r="P153" s="52"/>
      <c r="Q153" s="52"/>
      <c r="R153" s="52"/>
      <c r="S153" s="52"/>
      <c r="T153" s="48">
        <f t="shared" si="7"/>
        <v>0</v>
      </c>
      <c r="U153" s="48">
        <f t="shared" si="7"/>
        <v>0</v>
      </c>
      <c r="W153" s="65" t="s">
        <v>147</v>
      </c>
      <c r="X153" s="47">
        <v>2023</v>
      </c>
      <c r="Y153" s="61">
        <v>444</v>
      </c>
      <c r="Z153" s="61"/>
      <c r="AA153" s="61">
        <v>1532</v>
      </c>
      <c r="AB153" s="61"/>
      <c r="AC153" s="61">
        <f t="shared" si="8"/>
        <v>680208</v>
      </c>
      <c r="AD153" s="66">
        <f t="shared" si="9"/>
        <v>0</v>
      </c>
    </row>
    <row r="154" spans="14:30" ht="15.75" customHeight="1" x14ac:dyDescent="0.25">
      <c r="N154" s="46" t="s">
        <v>268</v>
      </c>
      <c r="O154" s="46" t="s">
        <v>402</v>
      </c>
      <c r="P154" s="48">
        <v>13327</v>
      </c>
      <c r="Q154" s="47">
        <v>117</v>
      </c>
      <c r="R154" s="48">
        <v>1476</v>
      </c>
      <c r="S154" s="48">
        <v>4172</v>
      </c>
      <c r="T154" s="48">
        <f t="shared" si="7"/>
        <v>19670652</v>
      </c>
      <c r="U154" s="48">
        <f t="shared" si="7"/>
        <v>488124</v>
      </c>
      <c r="W154" s="65" t="s">
        <v>147</v>
      </c>
      <c r="X154" s="47">
        <v>2024</v>
      </c>
      <c r="Y154" s="61">
        <v>173</v>
      </c>
      <c r="Z154" s="61"/>
      <c r="AA154" s="61">
        <v>1559</v>
      </c>
      <c r="AB154" s="61"/>
      <c r="AC154" s="61">
        <f t="shared" si="8"/>
        <v>269707</v>
      </c>
      <c r="AD154" s="66">
        <f t="shared" si="9"/>
        <v>0</v>
      </c>
    </row>
    <row r="155" spans="14:30" ht="15.75" customHeight="1" x14ac:dyDescent="0.25">
      <c r="N155" s="46" t="s">
        <v>269</v>
      </c>
      <c r="O155" s="46" t="s">
        <v>402</v>
      </c>
      <c r="P155" s="48">
        <v>2182</v>
      </c>
      <c r="Q155" s="48">
        <v>32934</v>
      </c>
      <c r="R155" s="48">
        <v>2910</v>
      </c>
      <c r="S155" s="48">
        <v>2273</v>
      </c>
      <c r="T155" s="48">
        <f t="shared" si="7"/>
        <v>6349620</v>
      </c>
      <c r="U155" s="48">
        <f t="shared" si="7"/>
        <v>74858982</v>
      </c>
      <c r="W155" s="65" t="s">
        <v>436</v>
      </c>
      <c r="X155" s="47">
        <v>2021</v>
      </c>
      <c r="Y155" s="61"/>
      <c r="Z155" s="61"/>
      <c r="AA155" s="61"/>
      <c r="AB155" s="61"/>
      <c r="AC155" s="61">
        <f t="shared" si="8"/>
        <v>0</v>
      </c>
      <c r="AD155" s="66">
        <f t="shared" si="9"/>
        <v>0</v>
      </c>
    </row>
    <row r="156" spans="14:30" ht="15.75" customHeight="1" x14ac:dyDescent="0.25">
      <c r="N156" s="46" t="s">
        <v>270</v>
      </c>
      <c r="O156" s="46" t="s">
        <v>402</v>
      </c>
      <c r="P156" s="48">
        <v>122475</v>
      </c>
      <c r="Q156" s="48">
        <v>82718</v>
      </c>
      <c r="R156" s="48">
        <v>1110</v>
      </c>
      <c r="S156" s="48">
        <v>1632</v>
      </c>
      <c r="T156" s="48">
        <f t="shared" si="7"/>
        <v>135947250</v>
      </c>
      <c r="U156" s="48">
        <f t="shared" si="7"/>
        <v>134995776</v>
      </c>
      <c r="W156" s="65" t="s">
        <v>436</v>
      </c>
      <c r="X156" s="47">
        <v>2022</v>
      </c>
      <c r="Y156" s="61">
        <v>18</v>
      </c>
      <c r="Z156" s="61"/>
      <c r="AA156" s="61"/>
      <c r="AB156" s="61"/>
      <c r="AC156" s="61">
        <f t="shared" si="8"/>
        <v>0</v>
      </c>
      <c r="AD156" s="66">
        <f t="shared" si="9"/>
        <v>0</v>
      </c>
    </row>
    <row r="157" spans="14:30" ht="15.75" customHeight="1" x14ac:dyDescent="0.25">
      <c r="N157" s="51" t="s">
        <v>270</v>
      </c>
      <c r="O157" s="51" t="s">
        <v>402</v>
      </c>
      <c r="P157" s="52"/>
      <c r="Q157" s="52"/>
      <c r="R157" s="52"/>
      <c r="S157" s="52"/>
      <c r="T157" s="48">
        <f t="shared" si="7"/>
        <v>0</v>
      </c>
      <c r="U157" s="48">
        <f t="shared" si="7"/>
        <v>0</v>
      </c>
      <c r="W157" s="65" t="s">
        <v>436</v>
      </c>
      <c r="X157" s="47">
        <v>2023</v>
      </c>
      <c r="Y157" s="61">
        <v>19</v>
      </c>
      <c r="Z157" s="61"/>
      <c r="AA157" s="61"/>
      <c r="AB157" s="61"/>
      <c r="AC157" s="61">
        <f t="shared" si="8"/>
        <v>0</v>
      </c>
      <c r="AD157" s="66">
        <f t="shared" si="9"/>
        <v>0</v>
      </c>
    </row>
    <row r="158" spans="14:30" ht="15.75" customHeight="1" x14ac:dyDescent="0.25">
      <c r="N158" s="46" t="s">
        <v>204</v>
      </c>
      <c r="O158" s="46" t="s">
        <v>402</v>
      </c>
      <c r="P158" s="48">
        <v>14013</v>
      </c>
      <c r="Q158" s="48">
        <v>93154</v>
      </c>
      <c r="R158" s="48">
        <v>1363</v>
      </c>
      <c r="S158" s="48">
        <v>1382</v>
      </c>
      <c r="T158" s="48">
        <f t="shared" si="7"/>
        <v>19099719</v>
      </c>
      <c r="U158" s="48">
        <f t="shared" si="7"/>
        <v>128738828</v>
      </c>
      <c r="W158" s="65" t="s">
        <v>436</v>
      </c>
      <c r="X158" s="47">
        <v>2024</v>
      </c>
      <c r="Y158" s="61">
        <v>19</v>
      </c>
      <c r="Z158" s="61"/>
      <c r="AA158" s="61"/>
      <c r="AB158" s="61"/>
      <c r="AC158" s="61">
        <f t="shared" si="8"/>
        <v>0</v>
      </c>
      <c r="AD158" s="66">
        <f t="shared" si="9"/>
        <v>0</v>
      </c>
    </row>
    <row r="159" spans="14:30" ht="15.75" customHeight="1" x14ac:dyDescent="0.25">
      <c r="N159" s="53" t="s">
        <v>207</v>
      </c>
      <c r="O159" s="53" t="s">
        <v>402</v>
      </c>
      <c r="P159" s="54"/>
      <c r="Q159" s="54"/>
      <c r="R159" s="54"/>
      <c r="S159" s="54"/>
      <c r="T159" s="48">
        <f t="shared" si="7"/>
        <v>0</v>
      </c>
      <c r="U159" s="48">
        <f t="shared" si="7"/>
        <v>0</v>
      </c>
      <c r="W159" s="65" t="s">
        <v>99</v>
      </c>
      <c r="X159" s="47">
        <v>2021</v>
      </c>
      <c r="Y159" s="61"/>
      <c r="Z159" s="61"/>
      <c r="AA159" s="61"/>
      <c r="AB159" s="61"/>
      <c r="AC159" s="61">
        <f t="shared" si="8"/>
        <v>0</v>
      </c>
      <c r="AD159" s="66">
        <f t="shared" si="9"/>
        <v>0</v>
      </c>
    </row>
    <row r="160" spans="14:30" ht="15.75" customHeight="1" x14ac:dyDescent="0.25">
      <c r="N160" s="46" t="s">
        <v>274</v>
      </c>
      <c r="O160" s="46" t="s">
        <v>53</v>
      </c>
      <c r="P160" s="47"/>
      <c r="Q160" s="48">
        <v>10935</v>
      </c>
      <c r="R160" s="47"/>
      <c r="S160" s="48">
        <v>2154</v>
      </c>
      <c r="T160" s="48">
        <f t="shared" ref="T160:U177" si="10">P160*R160</f>
        <v>0</v>
      </c>
      <c r="U160" s="48">
        <f t="shared" si="10"/>
        <v>23553990</v>
      </c>
      <c r="W160" s="65" t="s">
        <v>505</v>
      </c>
      <c r="X160" s="47">
        <v>2022</v>
      </c>
      <c r="Y160" s="61"/>
      <c r="Z160" s="61"/>
      <c r="AA160" s="61"/>
      <c r="AB160" s="61"/>
      <c r="AC160" s="61">
        <f t="shared" si="8"/>
        <v>0</v>
      </c>
      <c r="AD160" s="66">
        <f t="shared" si="9"/>
        <v>0</v>
      </c>
    </row>
    <row r="161" spans="14:30" ht="15.75" customHeight="1" x14ac:dyDescent="0.25">
      <c r="N161" s="46" t="s">
        <v>275</v>
      </c>
      <c r="O161" s="46" t="s">
        <v>403</v>
      </c>
      <c r="P161" s="47"/>
      <c r="Q161" s="48">
        <v>1439</v>
      </c>
      <c r="R161" s="47"/>
      <c r="S161" s="48">
        <v>2724</v>
      </c>
      <c r="T161" s="48">
        <f t="shared" si="10"/>
        <v>0</v>
      </c>
      <c r="U161" s="48">
        <f t="shared" si="10"/>
        <v>3919836</v>
      </c>
      <c r="W161" s="65" t="s">
        <v>506</v>
      </c>
      <c r="X161" s="47">
        <v>2023</v>
      </c>
      <c r="Y161" s="61"/>
      <c r="Z161" s="61"/>
      <c r="AA161" s="61"/>
      <c r="AB161" s="61"/>
      <c r="AC161" s="61">
        <f t="shared" si="8"/>
        <v>0</v>
      </c>
      <c r="AD161" s="66">
        <f t="shared" si="9"/>
        <v>0</v>
      </c>
    </row>
    <row r="162" spans="14:30" ht="15.75" customHeight="1" x14ac:dyDescent="0.25">
      <c r="N162" s="46" t="s">
        <v>276</v>
      </c>
      <c r="O162" s="46" t="s">
        <v>403</v>
      </c>
      <c r="P162" s="47"/>
      <c r="Q162" s="48">
        <v>8028</v>
      </c>
      <c r="R162" s="47"/>
      <c r="S162" s="48">
        <v>3144</v>
      </c>
      <c r="T162" s="48">
        <f t="shared" si="10"/>
        <v>0</v>
      </c>
      <c r="U162" s="48">
        <f t="shared" si="10"/>
        <v>25240032</v>
      </c>
      <c r="W162" s="65" t="s">
        <v>507</v>
      </c>
      <c r="X162" s="47">
        <v>2024</v>
      </c>
      <c r="Y162" s="61"/>
      <c r="Z162" s="61"/>
      <c r="AA162" s="61"/>
      <c r="AB162" s="61"/>
      <c r="AC162" s="61">
        <f t="shared" si="8"/>
        <v>0</v>
      </c>
      <c r="AD162" s="66">
        <f t="shared" si="9"/>
        <v>0</v>
      </c>
    </row>
    <row r="163" spans="14:30" ht="15.75" customHeight="1" x14ac:dyDescent="0.25">
      <c r="N163" s="46" t="s">
        <v>277</v>
      </c>
      <c r="O163" s="46" t="s">
        <v>403</v>
      </c>
      <c r="P163" s="47"/>
      <c r="Q163" s="47">
        <v>129</v>
      </c>
      <c r="R163" s="47"/>
      <c r="S163" s="48">
        <v>8356</v>
      </c>
      <c r="T163" s="48">
        <f t="shared" si="10"/>
        <v>0</v>
      </c>
      <c r="U163" s="48">
        <f t="shared" si="10"/>
        <v>1077924</v>
      </c>
      <c r="W163" s="65" t="s">
        <v>437</v>
      </c>
      <c r="X163" s="47">
        <v>2021</v>
      </c>
      <c r="Y163" s="61">
        <v>523</v>
      </c>
      <c r="Z163" s="61"/>
      <c r="AA163" s="61">
        <v>3681</v>
      </c>
      <c r="AB163" s="61"/>
      <c r="AC163" s="61">
        <f t="shared" si="8"/>
        <v>1925163</v>
      </c>
      <c r="AD163" s="66">
        <f t="shared" si="9"/>
        <v>0</v>
      </c>
    </row>
    <row r="164" spans="14:30" ht="15.75" customHeight="1" x14ac:dyDescent="0.25">
      <c r="N164" s="46" t="s">
        <v>210</v>
      </c>
      <c r="O164" s="46" t="s">
        <v>402</v>
      </c>
      <c r="P164" s="47"/>
      <c r="Q164" s="47">
        <v>325</v>
      </c>
      <c r="R164" s="47"/>
      <c r="S164" s="48">
        <v>3425</v>
      </c>
      <c r="T164" s="48">
        <f t="shared" si="10"/>
        <v>0</v>
      </c>
      <c r="U164" s="48">
        <f t="shared" si="10"/>
        <v>1113125</v>
      </c>
      <c r="W164" s="65" t="s">
        <v>437</v>
      </c>
      <c r="X164" s="47">
        <v>2022</v>
      </c>
      <c r="Y164" s="61">
        <v>515</v>
      </c>
      <c r="Z164" s="61"/>
      <c r="AA164" s="61">
        <v>5071</v>
      </c>
      <c r="AB164" s="61"/>
      <c r="AC164" s="61">
        <f t="shared" si="8"/>
        <v>2611565</v>
      </c>
      <c r="AD164" s="66">
        <f t="shared" si="9"/>
        <v>0</v>
      </c>
    </row>
    <row r="165" spans="14:30" ht="15.75" customHeight="1" x14ac:dyDescent="0.25">
      <c r="N165" s="46" t="s">
        <v>278</v>
      </c>
      <c r="O165" s="46" t="s">
        <v>403</v>
      </c>
      <c r="P165" s="48">
        <v>5241</v>
      </c>
      <c r="Q165" s="47"/>
      <c r="R165" s="47"/>
      <c r="S165" s="48">
        <v>1156</v>
      </c>
      <c r="T165" s="48">
        <f t="shared" si="10"/>
        <v>0</v>
      </c>
      <c r="U165" s="48">
        <f t="shared" si="10"/>
        <v>0</v>
      </c>
      <c r="W165" s="65" t="s">
        <v>437</v>
      </c>
      <c r="X165" s="47">
        <v>2023</v>
      </c>
      <c r="Y165" s="61">
        <v>593</v>
      </c>
      <c r="Z165" s="61"/>
      <c r="AA165" s="61">
        <v>6062</v>
      </c>
      <c r="AB165" s="61"/>
      <c r="AC165" s="61">
        <f t="shared" si="8"/>
        <v>3594766</v>
      </c>
      <c r="AD165" s="66">
        <f t="shared" si="9"/>
        <v>0</v>
      </c>
    </row>
    <row r="166" spans="14:30" ht="15.75" customHeight="1" x14ac:dyDescent="0.25">
      <c r="N166" s="51" t="s">
        <v>278</v>
      </c>
      <c r="O166" s="51" t="s">
        <v>403</v>
      </c>
      <c r="P166" s="52"/>
      <c r="Q166" s="52"/>
      <c r="R166" s="52"/>
      <c r="S166" s="52"/>
      <c r="T166" s="48">
        <f t="shared" si="10"/>
        <v>0</v>
      </c>
      <c r="U166" s="48">
        <f t="shared" si="10"/>
        <v>0</v>
      </c>
      <c r="W166" s="65" t="s">
        <v>437</v>
      </c>
      <c r="X166" s="47">
        <v>2024</v>
      </c>
      <c r="Y166" s="61">
        <v>495</v>
      </c>
      <c r="Z166" s="61"/>
      <c r="AA166" s="61">
        <v>5256</v>
      </c>
      <c r="AB166" s="61"/>
      <c r="AC166" s="61">
        <f t="shared" si="8"/>
        <v>2601720</v>
      </c>
      <c r="AD166" s="66">
        <f t="shared" si="9"/>
        <v>0</v>
      </c>
    </row>
    <row r="167" spans="14:30" ht="15.75" customHeight="1" x14ac:dyDescent="0.25">
      <c r="N167" s="46" t="s">
        <v>279</v>
      </c>
      <c r="O167" s="46" t="s">
        <v>402</v>
      </c>
      <c r="P167" s="47"/>
      <c r="Q167" s="48">
        <v>42820</v>
      </c>
      <c r="R167" s="47"/>
      <c r="S167" s="47">
        <v>263</v>
      </c>
      <c r="T167" s="48">
        <f t="shared" si="10"/>
        <v>0</v>
      </c>
      <c r="U167" s="48">
        <f t="shared" si="10"/>
        <v>11261660</v>
      </c>
      <c r="W167" s="65" t="s">
        <v>156</v>
      </c>
      <c r="X167" s="47">
        <v>2021</v>
      </c>
      <c r="Y167" s="61">
        <v>554</v>
      </c>
      <c r="Z167" s="61"/>
      <c r="AA167" s="61">
        <v>1899</v>
      </c>
      <c r="AB167" s="61"/>
      <c r="AC167" s="61">
        <f t="shared" si="8"/>
        <v>1052046</v>
      </c>
      <c r="AD167" s="66">
        <f t="shared" si="9"/>
        <v>0</v>
      </c>
    </row>
    <row r="168" spans="14:30" ht="15.75" customHeight="1" x14ac:dyDescent="0.25">
      <c r="N168" s="53" t="s">
        <v>280</v>
      </c>
      <c r="O168" s="53" t="s">
        <v>404</v>
      </c>
      <c r="P168" s="54"/>
      <c r="Q168" s="54"/>
      <c r="R168" s="54"/>
      <c r="S168" s="54"/>
      <c r="T168" s="48">
        <f t="shared" si="10"/>
        <v>0</v>
      </c>
      <c r="U168" s="48">
        <f t="shared" si="10"/>
        <v>0</v>
      </c>
      <c r="W168" s="65" t="s">
        <v>156</v>
      </c>
      <c r="X168" s="47">
        <v>2022</v>
      </c>
      <c r="Y168" s="61">
        <v>144</v>
      </c>
      <c r="Z168" s="61"/>
      <c r="AA168" s="61">
        <v>2955</v>
      </c>
      <c r="AB168" s="61"/>
      <c r="AC168" s="61">
        <f t="shared" si="8"/>
        <v>425520</v>
      </c>
      <c r="AD168" s="66">
        <f t="shared" si="9"/>
        <v>0</v>
      </c>
    </row>
    <row r="169" spans="14:30" ht="15.75" customHeight="1" x14ac:dyDescent="0.25">
      <c r="N169" s="46" t="s">
        <v>282</v>
      </c>
      <c r="O169" s="46" t="s">
        <v>402</v>
      </c>
      <c r="P169" s="47"/>
      <c r="Q169" s="47">
        <v>597</v>
      </c>
      <c r="R169" s="47"/>
      <c r="S169" s="48">
        <v>1326</v>
      </c>
      <c r="T169" s="48">
        <f t="shared" si="10"/>
        <v>0</v>
      </c>
      <c r="U169" s="48">
        <f t="shared" si="10"/>
        <v>791622</v>
      </c>
      <c r="W169" s="65" t="s">
        <v>156</v>
      </c>
      <c r="X169" s="47">
        <v>2023</v>
      </c>
      <c r="Y169" s="61">
        <v>151</v>
      </c>
      <c r="Z169" s="61"/>
      <c r="AA169" s="61">
        <v>2129</v>
      </c>
      <c r="AB169" s="61"/>
      <c r="AC169" s="61">
        <f t="shared" si="8"/>
        <v>321479</v>
      </c>
      <c r="AD169" s="66">
        <f t="shared" si="9"/>
        <v>0</v>
      </c>
    </row>
    <row r="170" spans="14:30" ht="15.75" customHeight="1" x14ac:dyDescent="0.25">
      <c r="N170" s="46" t="s">
        <v>283</v>
      </c>
      <c r="O170" s="46" t="s">
        <v>403</v>
      </c>
      <c r="P170" s="48">
        <v>2165</v>
      </c>
      <c r="Q170" s="47"/>
      <c r="R170" s="47">
        <v>271</v>
      </c>
      <c r="S170" s="47"/>
      <c r="T170" s="48">
        <f t="shared" si="10"/>
        <v>586715</v>
      </c>
      <c r="U170" s="48">
        <f t="shared" si="10"/>
        <v>0</v>
      </c>
      <c r="W170" s="65" t="s">
        <v>156</v>
      </c>
      <c r="X170" s="47">
        <v>2024</v>
      </c>
      <c r="Y170" s="61">
        <v>76</v>
      </c>
      <c r="Z170" s="61"/>
      <c r="AA170" s="61">
        <v>2140</v>
      </c>
      <c r="AB170" s="61"/>
      <c r="AC170" s="61">
        <f t="shared" si="8"/>
        <v>162640</v>
      </c>
      <c r="AD170" s="66">
        <f t="shared" si="9"/>
        <v>0</v>
      </c>
    </row>
    <row r="171" spans="14:30" ht="15.75" customHeight="1" x14ac:dyDescent="0.25">
      <c r="N171" s="46" t="s">
        <v>284</v>
      </c>
      <c r="O171" s="46" t="s">
        <v>404</v>
      </c>
      <c r="P171" s="48">
        <v>21164</v>
      </c>
      <c r="Q171" s="47"/>
      <c r="R171" s="47">
        <v>794</v>
      </c>
      <c r="S171" s="47"/>
      <c r="T171" s="48">
        <f t="shared" si="10"/>
        <v>16804216</v>
      </c>
      <c r="U171" s="48">
        <f t="shared" si="10"/>
        <v>0</v>
      </c>
      <c r="W171" s="65" t="s">
        <v>438</v>
      </c>
      <c r="X171" s="47">
        <v>2021</v>
      </c>
      <c r="Y171" s="61">
        <v>454</v>
      </c>
      <c r="Z171" s="62">
        <v>468</v>
      </c>
      <c r="AA171" s="61">
        <v>3641</v>
      </c>
      <c r="AB171" s="61">
        <v>2656</v>
      </c>
      <c r="AC171" s="61">
        <f t="shared" si="8"/>
        <v>1653014</v>
      </c>
      <c r="AD171" s="66">
        <f t="shared" si="9"/>
        <v>1243008</v>
      </c>
    </row>
    <row r="172" spans="14:30" ht="15.75" customHeight="1" x14ac:dyDescent="0.25">
      <c r="N172" s="51" t="s">
        <v>284</v>
      </c>
      <c r="O172" s="51" t="s">
        <v>404</v>
      </c>
      <c r="P172" s="52"/>
      <c r="Q172" s="52"/>
      <c r="R172" s="52"/>
      <c r="S172" s="56"/>
      <c r="T172" s="48">
        <f t="shared" si="10"/>
        <v>0</v>
      </c>
      <c r="U172" s="48">
        <f t="shared" si="10"/>
        <v>0</v>
      </c>
      <c r="W172" s="65" t="s">
        <v>438</v>
      </c>
      <c r="X172" s="47">
        <v>2022</v>
      </c>
      <c r="Y172" s="61">
        <v>530</v>
      </c>
      <c r="Z172" s="62">
        <v>512</v>
      </c>
      <c r="AA172" s="61">
        <v>4231</v>
      </c>
      <c r="AB172" s="61">
        <v>3012</v>
      </c>
      <c r="AC172" s="61">
        <f t="shared" si="8"/>
        <v>2242430</v>
      </c>
      <c r="AD172" s="66">
        <f t="shared" si="9"/>
        <v>1542144</v>
      </c>
    </row>
    <row r="173" spans="14:30" ht="15.75" customHeight="1" x14ac:dyDescent="0.25">
      <c r="N173" s="46" t="s">
        <v>285</v>
      </c>
      <c r="O173" s="46" t="s">
        <v>402</v>
      </c>
      <c r="P173" s="47"/>
      <c r="Q173" s="47">
        <v>215</v>
      </c>
      <c r="R173" s="47"/>
      <c r="S173" s="48">
        <v>1122</v>
      </c>
      <c r="T173" s="48">
        <f t="shared" si="10"/>
        <v>0</v>
      </c>
      <c r="U173" s="48">
        <f t="shared" si="10"/>
        <v>241230</v>
      </c>
      <c r="W173" s="65" t="s">
        <v>438</v>
      </c>
      <c r="X173" s="47">
        <v>2023</v>
      </c>
      <c r="Y173" s="61">
        <v>570</v>
      </c>
      <c r="Z173" s="62">
        <v>386</v>
      </c>
      <c r="AA173" s="61">
        <v>3695</v>
      </c>
      <c r="AB173" s="61">
        <v>2382</v>
      </c>
      <c r="AC173" s="61">
        <f t="shared" si="8"/>
        <v>2106150</v>
      </c>
      <c r="AD173" s="66">
        <f t="shared" si="9"/>
        <v>919452</v>
      </c>
    </row>
    <row r="174" spans="14:30" ht="15.75" customHeight="1" x14ac:dyDescent="0.25">
      <c r="N174" s="46" t="s">
        <v>219</v>
      </c>
      <c r="O174" s="46" t="s">
        <v>402</v>
      </c>
      <c r="P174" s="47"/>
      <c r="Q174" s="48">
        <v>2889</v>
      </c>
      <c r="R174" s="47"/>
      <c r="S174" s="48">
        <v>2082</v>
      </c>
      <c r="T174" s="48">
        <f t="shared" si="10"/>
        <v>0</v>
      </c>
      <c r="U174" s="48">
        <f t="shared" si="10"/>
        <v>6014898</v>
      </c>
      <c r="W174" s="65" t="s">
        <v>438</v>
      </c>
      <c r="X174" s="47">
        <v>2024</v>
      </c>
      <c r="Y174" s="61">
        <v>683</v>
      </c>
      <c r="Z174" s="62">
        <v>175</v>
      </c>
      <c r="AA174" s="61">
        <v>2957</v>
      </c>
      <c r="AB174" s="61">
        <v>2685</v>
      </c>
      <c r="AC174" s="61">
        <f t="shared" si="8"/>
        <v>2019631</v>
      </c>
      <c r="AD174" s="66">
        <f t="shared" si="9"/>
        <v>469875</v>
      </c>
    </row>
    <row r="175" spans="14:30" ht="15.75" customHeight="1" x14ac:dyDescent="0.25">
      <c r="N175" s="46" t="s">
        <v>286</v>
      </c>
      <c r="O175" s="46" t="s">
        <v>403</v>
      </c>
      <c r="P175" s="47"/>
      <c r="Q175" s="48">
        <v>330460</v>
      </c>
      <c r="R175" s="47"/>
      <c r="S175" s="47">
        <v>299</v>
      </c>
      <c r="T175" s="48">
        <f t="shared" si="10"/>
        <v>0</v>
      </c>
      <c r="U175" s="48">
        <f t="shared" si="10"/>
        <v>98807540</v>
      </c>
      <c r="W175" s="65" t="s">
        <v>439</v>
      </c>
      <c r="X175" s="47">
        <v>2021</v>
      </c>
      <c r="Y175" s="61">
        <v>5145</v>
      </c>
      <c r="Z175" s="62"/>
      <c r="AA175" s="61">
        <v>2545</v>
      </c>
      <c r="AB175" s="61"/>
      <c r="AC175" s="61">
        <f t="shared" ref="AC175:AD224" si="11">Y175*AA175</f>
        <v>13094025</v>
      </c>
      <c r="AD175" s="66">
        <f t="shared" si="11"/>
        <v>0</v>
      </c>
    </row>
    <row r="176" spans="14:30" ht="15.75" customHeight="1" x14ac:dyDescent="0.25">
      <c r="N176" s="46" t="s">
        <v>287</v>
      </c>
      <c r="O176" s="46" t="s">
        <v>402</v>
      </c>
      <c r="P176" s="47"/>
      <c r="Q176" s="48">
        <v>1081189</v>
      </c>
      <c r="R176" s="47"/>
      <c r="S176" s="47">
        <v>378</v>
      </c>
      <c r="T176" s="48">
        <f t="shared" si="10"/>
        <v>0</v>
      </c>
      <c r="U176" s="48">
        <f t="shared" si="10"/>
        <v>408689442</v>
      </c>
      <c r="W176" s="65" t="s">
        <v>439</v>
      </c>
      <c r="X176" s="47">
        <v>2022</v>
      </c>
      <c r="Y176" s="61">
        <v>4751</v>
      </c>
      <c r="Z176" s="62">
        <v>81</v>
      </c>
      <c r="AA176" s="61">
        <v>3167</v>
      </c>
      <c r="AB176" s="61"/>
      <c r="AC176" s="61">
        <f t="shared" si="11"/>
        <v>15046417</v>
      </c>
      <c r="AD176" s="66">
        <f t="shared" si="11"/>
        <v>0</v>
      </c>
    </row>
    <row r="177" spans="14:30" ht="15.75" customHeight="1" x14ac:dyDescent="0.25">
      <c r="N177" s="46" t="s">
        <v>288</v>
      </c>
      <c r="O177" s="46" t="s">
        <v>404</v>
      </c>
      <c r="P177" s="48">
        <v>2127</v>
      </c>
      <c r="Q177" s="47"/>
      <c r="R177" s="48">
        <v>1103</v>
      </c>
      <c r="S177" s="47"/>
      <c r="T177" s="48">
        <f t="shared" si="10"/>
        <v>2346081</v>
      </c>
      <c r="U177" s="48">
        <f t="shared" si="10"/>
        <v>0</v>
      </c>
      <c r="W177" s="65" t="s">
        <v>439</v>
      </c>
      <c r="X177" s="47">
        <v>2023</v>
      </c>
      <c r="Y177" s="61">
        <v>4047</v>
      </c>
      <c r="Z177" s="62"/>
      <c r="AA177" s="61">
        <v>3050</v>
      </c>
      <c r="AB177" s="61"/>
      <c r="AC177" s="61">
        <f t="shared" si="11"/>
        <v>12343350</v>
      </c>
      <c r="AD177" s="66">
        <f t="shared" si="11"/>
        <v>0</v>
      </c>
    </row>
    <row r="178" spans="14:30" ht="15.75" customHeight="1" x14ac:dyDescent="0.25">
      <c r="N178" s="46" t="s">
        <v>289</v>
      </c>
      <c r="O178" s="46" t="s">
        <v>404</v>
      </c>
      <c r="P178" s="48">
        <v>12189</v>
      </c>
      <c r="Q178" s="47"/>
      <c r="R178" s="48">
        <v>1059</v>
      </c>
      <c r="S178" s="48"/>
      <c r="T178" s="48">
        <f>P178*R178</f>
        <v>12908151</v>
      </c>
      <c r="U178" s="48">
        <f t="shared" ref="U178" si="12">Q178*S178</f>
        <v>0</v>
      </c>
      <c r="W178" s="65" t="s">
        <v>439</v>
      </c>
      <c r="X178" s="47">
        <v>2024</v>
      </c>
      <c r="Y178" s="61">
        <v>4086</v>
      </c>
      <c r="Z178" s="62">
        <v>46</v>
      </c>
      <c r="AA178" s="61">
        <v>2849</v>
      </c>
      <c r="AB178" s="61"/>
      <c r="AC178" s="61">
        <f t="shared" si="11"/>
        <v>11641014</v>
      </c>
      <c r="AD178" s="66">
        <f t="shared" si="11"/>
        <v>0</v>
      </c>
    </row>
    <row r="179" spans="14:30" ht="15.75" customHeight="1" x14ac:dyDescent="0.25">
      <c r="N179" s="51" t="s">
        <v>289</v>
      </c>
      <c r="O179" s="51" t="s">
        <v>404</v>
      </c>
      <c r="P179" s="52"/>
      <c r="Q179" s="52"/>
      <c r="R179" s="52"/>
      <c r="S179" s="52"/>
      <c r="T179" s="48">
        <f t="shared" ref="T179" si="13">P179*S179</f>
        <v>0</v>
      </c>
      <c r="U179" s="48">
        <f t="shared" ref="U179" si="14">Q179*S179</f>
        <v>0</v>
      </c>
      <c r="W179" s="65" t="s">
        <v>440</v>
      </c>
      <c r="X179" s="47">
        <v>2021</v>
      </c>
      <c r="Y179" s="61">
        <v>10911</v>
      </c>
      <c r="Z179" s="62">
        <v>34891</v>
      </c>
      <c r="AA179" s="61">
        <v>2627</v>
      </c>
      <c r="AB179" s="61">
        <v>1924</v>
      </c>
      <c r="AC179" s="61">
        <f t="shared" si="11"/>
        <v>28663197</v>
      </c>
      <c r="AD179" s="66">
        <f t="shared" si="11"/>
        <v>67130284</v>
      </c>
    </row>
    <row r="180" spans="14:30" ht="15.75" customHeight="1" x14ac:dyDescent="0.25">
      <c r="N180" s="46" t="s">
        <v>7</v>
      </c>
      <c r="O180" s="57">
        <v>1</v>
      </c>
      <c r="P180" s="48">
        <f>SUM(P32:P178)</f>
        <v>964651</v>
      </c>
      <c r="Q180" s="48">
        <f>SUM(Q32:Q179)</f>
        <v>3530762</v>
      </c>
      <c r="R180" s="48"/>
      <c r="S180" s="48"/>
      <c r="T180" s="48">
        <f t="shared" ref="T180:U180" si="15">SUM(T32:T179)</f>
        <v>875065135</v>
      </c>
      <c r="U180" s="48">
        <f t="shared" si="15"/>
        <v>2707686379</v>
      </c>
      <c r="W180" s="65" t="s">
        <v>440</v>
      </c>
      <c r="X180" s="47">
        <v>2022</v>
      </c>
      <c r="Y180" s="61">
        <v>9538</v>
      </c>
      <c r="Z180" s="62">
        <v>32581</v>
      </c>
      <c r="AA180" s="61">
        <v>3124</v>
      </c>
      <c r="AB180" s="61">
        <v>2230</v>
      </c>
      <c r="AC180" s="61">
        <f t="shared" si="11"/>
        <v>29796712</v>
      </c>
      <c r="AD180" s="66">
        <f t="shared" si="11"/>
        <v>72655630</v>
      </c>
    </row>
    <row r="181" spans="14:30" ht="15.75" customHeight="1" x14ac:dyDescent="0.25">
      <c r="W181" s="65" t="s">
        <v>440</v>
      </c>
      <c r="X181" s="47">
        <v>2023</v>
      </c>
      <c r="Y181" s="61">
        <v>7617</v>
      </c>
      <c r="Z181" s="62">
        <v>27051</v>
      </c>
      <c r="AA181" s="61">
        <v>2878</v>
      </c>
      <c r="AB181" s="61">
        <v>1557</v>
      </c>
      <c r="AC181" s="61">
        <f t="shared" si="11"/>
        <v>21921726</v>
      </c>
      <c r="AD181" s="66">
        <f t="shared" si="11"/>
        <v>42118407</v>
      </c>
    </row>
    <row r="182" spans="14:30" ht="15.75" customHeight="1" x14ac:dyDescent="0.25">
      <c r="T182" s="60"/>
      <c r="W182" s="65" t="s">
        <v>440</v>
      </c>
      <c r="X182" s="47">
        <v>2024</v>
      </c>
      <c r="Y182" s="61">
        <v>6019</v>
      </c>
      <c r="Z182" s="62">
        <v>38081</v>
      </c>
      <c r="AA182" s="61">
        <v>2805</v>
      </c>
      <c r="AB182" s="61">
        <v>1763</v>
      </c>
      <c r="AC182" s="61">
        <f t="shared" si="11"/>
        <v>16883295</v>
      </c>
      <c r="AD182" s="66">
        <f t="shared" si="11"/>
        <v>67136803</v>
      </c>
    </row>
    <row r="183" spans="14:30" ht="15.75" customHeight="1" x14ac:dyDescent="0.25">
      <c r="W183" s="65" t="s">
        <v>441</v>
      </c>
      <c r="X183" s="47">
        <v>2021</v>
      </c>
      <c r="Y183" s="61">
        <v>2254</v>
      </c>
      <c r="Z183" s="62">
        <v>13</v>
      </c>
      <c r="AA183" s="61">
        <v>2720</v>
      </c>
      <c r="AB183" s="61"/>
      <c r="AC183" s="61">
        <f t="shared" si="11"/>
        <v>6130880</v>
      </c>
      <c r="AD183" s="66">
        <f t="shared" si="11"/>
        <v>0</v>
      </c>
    </row>
    <row r="184" spans="14:30" ht="15.75" customHeight="1" x14ac:dyDescent="0.25">
      <c r="W184" s="65" t="s">
        <v>441</v>
      </c>
      <c r="X184" s="47">
        <v>2022</v>
      </c>
      <c r="Y184" s="61">
        <v>2162</v>
      </c>
      <c r="Z184" s="62">
        <v>7</v>
      </c>
      <c r="AA184" s="61">
        <v>3539</v>
      </c>
      <c r="AB184" s="61"/>
      <c r="AC184" s="61">
        <f t="shared" si="11"/>
        <v>7651318</v>
      </c>
      <c r="AD184" s="66">
        <f t="shared" si="11"/>
        <v>0</v>
      </c>
    </row>
    <row r="185" spans="14:30" ht="15.75" customHeight="1" x14ac:dyDescent="0.25">
      <c r="W185" s="65" t="s">
        <v>441</v>
      </c>
      <c r="X185" s="47">
        <v>2023</v>
      </c>
      <c r="Y185" s="61">
        <v>1686</v>
      </c>
      <c r="Z185" s="62">
        <v>1</v>
      </c>
      <c r="AA185" s="61">
        <v>3658</v>
      </c>
      <c r="AB185" s="61"/>
      <c r="AC185" s="61">
        <f t="shared" si="11"/>
        <v>6167388</v>
      </c>
      <c r="AD185" s="66">
        <f t="shared" si="11"/>
        <v>0</v>
      </c>
    </row>
    <row r="186" spans="14:30" ht="15.75" customHeight="1" x14ac:dyDescent="0.25">
      <c r="W186" s="65" t="s">
        <v>441</v>
      </c>
      <c r="X186" s="47">
        <v>2024</v>
      </c>
      <c r="Y186" s="61">
        <v>1205</v>
      </c>
      <c r="Z186" s="62">
        <v>4</v>
      </c>
      <c r="AA186" s="61">
        <v>3670</v>
      </c>
      <c r="AB186" s="61"/>
      <c r="AC186" s="61">
        <f t="shared" si="11"/>
        <v>4422350</v>
      </c>
      <c r="AD186" s="66">
        <f t="shared" si="11"/>
        <v>0</v>
      </c>
    </row>
    <row r="187" spans="14:30" ht="15.75" customHeight="1" x14ac:dyDescent="0.25">
      <c r="W187" s="65" t="s">
        <v>442</v>
      </c>
      <c r="X187" s="47">
        <v>2021</v>
      </c>
      <c r="Y187" s="61">
        <v>14996</v>
      </c>
      <c r="Z187" s="62">
        <v>909</v>
      </c>
      <c r="AA187" s="61">
        <v>2040</v>
      </c>
      <c r="AB187" s="61"/>
      <c r="AC187" s="61">
        <f t="shared" si="11"/>
        <v>30591840</v>
      </c>
      <c r="AD187" s="66">
        <f t="shared" si="11"/>
        <v>0</v>
      </c>
    </row>
    <row r="188" spans="14:30" ht="15.75" customHeight="1" x14ac:dyDescent="0.25">
      <c r="W188" s="65" t="s">
        <v>442</v>
      </c>
      <c r="X188" s="47">
        <v>2022</v>
      </c>
      <c r="Y188" s="61">
        <v>12745</v>
      </c>
      <c r="Z188" s="62">
        <v>20</v>
      </c>
      <c r="AA188" s="61">
        <v>2582</v>
      </c>
      <c r="AB188" s="61"/>
      <c r="AC188" s="61">
        <f t="shared" si="11"/>
        <v>32907590</v>
      </c>
      <c r="AD188" s="66">
        <f t="shared" si="11"/>
        <v>0</v>
      </c>
    </row>
    <row r="189" spans="14:30" ht="15.75" customHeight="1" x14ac:dyDescent="0.25">
      <c r="W189" s="65" t="s">
        <v>442</v>
      </c>
      <c r="X189" s="47">
        <v>2023</v>
      </c>
      <c r="Y189" s="61">
        <v>14212</v>
      </c>
      <c r="Z189" s="62"/>
      <c r="AA189" s="61">
        <v>2503</v>
      </c>
      <c r="AB189" s="61"/>
      <c r="AC189" s="61">
        <f t="shared" si="11"/>
        <v>35572636</v>
      </c>
      <c r="AD189" s="66">
        <f t="shared" si="11"/>
        <v>0</v>
      </c>
    </row>
    <row r="190" spans="14:30" ht="15.75" customHeight="1" x14ac:dyDescent="0.25">
      <c r="W190" s="65" t="s">
        <v>442</v>
      </c>
      <c r="X190" s="47">
        <v>2024</v>
      </c>
      <c r="Y190" s="61">
        <v>3926</v>
      </c>
      <c r="Z190" s="62"/>
      <c r="AA190" s="61">
        <v>1926</v>
      </c>
      <c r="AB190" s="61"/>
      <c r="AC190" s="61">
        <f t="shared" si="11"/>
        <v>7561476</v>
      </c>
      <c r="AD190" s="66">
        <f t="shared" si="11"/>
        <v>0</v>
      </c>
    </row>
    <row r="191" spans="14:30" ht="15.75" customHeight="1" x14ac:dyDescent="0.25">
      <c r="W191" s="65" t="s">
        <v>443</v>
      </c>
      <c r="X191" s="47">
        <v>2021</v>
      </c>
      <c r="Y191" s="61">
        <v>735</v>
      </c>
      <c r="Z191" s="62">
        <v>4</v>
      </c>
      <c r="AA191" s="61">
        <v>4756</v>
      </c>
      <c r="AB191" s="61"/>
      <c r="AC191" s="61">
        <f t="shared" si="11"/>
        <v>3495660</v>
      </c>
      <c r="AD191" s="66">
        <f t="shared" si="11"/>
        <v>0</v>
      </c>
    </row>
    <row r="192" spans="14:30" ht="15.75" customHeight="1" x14ac:dyDescent="0.25">
      <c r="W192" s="65" t="s">
        <v>443</v>
      </c>
      <c r="X192" s="47">
        <v>2022</v>
      </c>
      <c r="Y192" s="61">
        <v>720</v>
      </c>
      <c r="Z192" s="62">
        <v>1</v>
      </c>
      <c r="AA192" s="61">
        <v>6473</v>
      </c>
      <c r="AB192" s="61"/>
      <c r="AC192" s="61">
        <f t="shared" si="11"/>
        <v>4660560</v>
      </c>
      <c r="AD192" s="66">
        <f t="shared" si="11"/>
        <v>0</v>
      </c>
    </row>
    <row r="193" spans="23:30" ht="15.75" customHeight="1" x14ac:dyDescent="0.25">
      <c r="W193" s="65" t="s">
        <v>443</v>
      </c>
      <c r="X193" s="47">
        <v>2023</v>
      </c>
      <c r="Y193" s="61">
        <v>689</v>
      </c>
      <c r="Z193" s="62"/>
      <c r="AA193" s="61">
        <v>6471</v>
      </c>
      <c r="AB193" s="61"/>
      <c r="AC193" s="61">
        <f t="shared" si="11"/>
        <v>4458519</v>
      </c>
      <c r="AD193" s="66">
        <f t="shared" si="11"/>
        <v>0</v>
      </c>
    </row>
    <row r="194" spans="23:30" ht="15.75" customHeight="1" x14ac:dyDescent="0.25">
      <c r="W194" s="65" t="s">
        <v>443</v>
      </c>
      <c r="X194" s="47">
        <v>2024</v>
      </c>
      <c r="Y194" s="61">
        <v>507</v>
      </c>
      <c r="Z194" s="62">
        <v>1</v>
      </c>
      <c r="AA194" s="61">
        <v>5940</v>
      </c>
      <c r="AB194" s="61"/>
      <c r="AC194" s="61">
        <f t="shared" si="11"/>
        <v>3011580</v>
      </c>
      <c r="AD194" s="66">
        <f t="shared" si="11"/>
        <v>0</v>
      </c>
    </row>
    <row r="195" spans="23:30" ht="15.75" customHeight="1" x14ac:dyDescent="0.25">
      <c r="W195" s="65" t="s">
        <v>444</v>
      </c>
      <c r="X195" s="47">
        <v>2021</v>
      </c>
      <c r="Y195" s="61">
        <v>996</v>
      </c>
      <c r="Z195" s="62"/>
      <c r="AA195" s="61">
        <v>1733</v>
      </c>
      <c r="AB195" s="61"/>
      <c r="AC195" s="61">
        <f t="shared" si="11"/>
        <v>1726068</v>
      </c>
      <c r="AD195" s="66">
        <f t="shared" si="11"/>
        <v>0</v>
      </c>
    </row>
    <row r="196" spans="23:30" ht="15.75" customHeight="1" x14ac:dyDescent="0.25">
      <c r="W196" s="65" t="s">
        <v>444</v>
      </c>
      <c r="X196" s="47">
        <v>2022</v>
      </c>
      <c r="Y196" s="61">
        <v>784</v>
      </c>
      <c r="Z196" s="62"/>
      <c r="AA196" s="61">
        <v>2170</v>
      </c>
      <c r="AB196" s="61"/>
      <c r="AC196" s="61">
        <f t="shared" si="11"/>
        <v>1701280</v>
      </c>
      <c r="AD196" s="66">
        <f t="shared" si="11"/>
        <v>0</v>
      </c>
    </row>
    <row r="197" spans="23:30" ht="15.75" customHeight="1" x14ac:dyDescent="0.25">
      <c r="W197" s="65" t="s">
        <v>444</v>
      </c>
      <c r="X197" s="47">
        <v>2023</v>
      </c>
      <c r="Y197" s="61">
        <v>1260</v>
      </c>
      <c r="Z197" s="62"/>
      <c r="AA197" s="61">
        <v>2757</v>
      </c>
      <c r="AB197" s="61"/>
      <c r="AC197" s="61">
        <f t="shared" si="11"/>
        <v>3473820</v>
      </c>
      <c r="AD197" s="66">
        <f t="shared" si="11"/>
        <v>0</v>
      </c>
    </row>
    <row r="198" spans="23:30" ht="15.75" customHeight="1" x14ac:dyDescent="0.25">
      <c r="W198" s="65" t="s">
        <v>444</v>
      </c>
      <c r="X198" s="47">
        <v>2024</v>
      </c>
      <c r="Y198" s="61">
        <v>1173</v>
      </c>
      <c r="Z198" s="62">
        <v>349</v>
      </c>
      <c r="AA198" s="61">
        <v>2227</v>
      </c>
      <c r="AB198" s="61"/>
      <c r="AC198" s="61">
        <f t="shared" si="11"/>
        <v>2612271</v>
      </c>
      <c r="AD198" s="66">
        <f t="shared" si="11"/>
        <v>0</v>
      </c>
    </row>
    <row r="199" spans="23:30" ht="15.75" customHeight="1" x14ac:dyDescent="0.25">
      <c r="W199" s="65" t="s">
        <v>445</v>
      </c>
      <c r="X199" s="47">
        <v>2021</v>
      </c>
      <c r="Y199" s="61">
        <v>9927</v>
      </c>
      <c r="Z199" s="62"/>
      <c r="AA199" s="61">
        <v>2012</v>
      </c>
      <c r="AB199" s="61"/>
      <c r="AC199" s="61">
        <f t="shared" si="11"/>
        <v>19973124</v>
      </c>
      <c r="AD199" s="66">
        <f t="shared" si="11"/>
        <v>0</v>
      </c>
    </row>
    <row r="200" spans="23:30" ht="15.75" customHeight="1" x14ac:dyDescent="0.25">
      <c r="W200" s="65" t="s">
        <v>445</v>
      </c>
      <c r="X200" s="47">
        <v>2022</v>
      </c>
      <c r="Y200" s="61">
        <v>9980</v>
      </c>
      <c r="Z200" s="62"/>
      <c r="AA200" s="61">
        <v>2534</v>
      </c>
      <c r="AB200" s="61"/>
      <c r="AC200" s="61">
        <f t="shared" si="11"/>
        <v>25289320</v>
      </c>
      <c r="AD200" s="66">
        <f t="shared" si="11"/>
        <v>0</v>
      </c>
    </row>
    <row r="201" spans="23:30" ht="15.75" customHeight="1" x14ac:dyDescent="0.25">
      <c r="W201" s="65" t="s">
        <v>445</v>
      </c>
      <c r="X201" s="47">
        <v>2023</v>
      </c>
      <c r="Y201" s="61">
        <v>11667</v>
      </c>
      <c r="Z201" s="62"/>
      <c r="AA201" s="61">
        <v>2793</v>
      </c>
      <c r="AB201" s="61"/>
      <c r="AC201" s="61">
        <f t="shared" si="11"/>
        <v>32585931</v>
      </c>
      <c r="AD201" s="66">
        <f t="shared" si="11"/>
        <v>0</v>
      </c>
    </row>
    <row r="202" spans="23:30" ht="15.75" customHeight="1" x14ac:dyDescent="0.25">
      <c r="W202" s="65" t="s">
        <v>445</v>
      </c>
      <c r="X202" s="47">
        <v>2024</v>
      </c>
      <c r="Y202" s="61">
        <v>8940</v>
      </c>
      <c r="Z202" s="62"/>
      <c r="AA202" s="61">
        <v>2513</v>
      </c>
      <c r="AB202" s="61"/>
      <c r="AC202" s="61">
        <f t="shared" si="11"/>
        <v>22466220</v>
      </c>
      <c r="AD202" s="66">
        <f t="shared" si="11"/>
        <v>0</v>
      </c>
    </row>
    <row r="203" spans="23:30" ht="15.75" customHeight="1" x14ac:dyDescent="0.25">
      <c r="W203" s="65" t="s">
        <v>159</v>
      </c>
      <c r="X203" s="47">
        <v>2021</v>
      </c>
      <c r="Y203" s="61"/>
      <c r="Z203" s="62">
        <v>3783</v>
      </c>
      <c r="AA203" s="61"/>
      <c r="AB203" s="61">
        <v>1104</v>
      </c>
      <c r="AC203" s="61">
        <f t="shared" si="11"/>
        <v>0</v>
      </c>
      <c r="AD203" s="66">
        <f t="shared" si="11"/>
        <v>4176432</v>
      </c>
    </row>
    <row r="204" spans="23:30" ht="15.75" customHeight="1" x14ac:dyDescent="0.25">
      <c r="W204" s="65" t="s">
        <v>159</v>
      </c>
      <c r="X204" s="47">
        <v>2022</v>
      </c>
      <c r="Y204" s="61">
        <v>1</v>
      </c>
      <c r="Z204" s="62">
        <v>2471</v>
      </c>
      <c r="AA204" s="61"/>
      <c r="AB204" s="61">
        <v>1619</v>
      </c>
      <c r="AC204" s="61">
        <f t="shared" si="11"/>
        <v>0</v>
      </c>
      <c r="AD204" s="66">
        <f t="shared" si="11"/>
        <v>4000549</v>
      </c>
    </row>
    <row r="205" spans="23:30" ht="15.75" customHeight="1" x14ac:dyDescent="0.25">
      <c r="W205" s="65" t="s">
        <v>159</v>
      </c>
      <c r="X205" s="47">
        <v>2023</v>
      </c>
      <c r="Y205" s="61"/>
      <c r="Z205" s="62">
        <v>1793</v>
      </c>
      <c r="AA205" s="61"/>
      <c r="AB205" s="61">
        <v>1585</v>
      </c>
      <c r="AC205" s="61">
        <f t="shared" si="11"/>
        <v>0</v>
      </c>
      <c r="AD205" s="66">
        <f t="shared" si="11"/>
        <v>2841905</v>
      </c>
    </row>
    <row r="206" spans="23:30" ht="15.75" customHeight="1" x14ac:dyDescent="0.25">
      <c r="W206" s="65" t="s">
        <v>159</v>
      </c>
      <c r="X206" s="47">
        <v>2024</v>
      </c>
      <c r="Y206" s="61">
        <v>1</v>
      </c>
      <c r="Z206" s="62">
        <v>1996</v>
      </c>
      <c r="AA206" s="61"/>
      <c r="AB206" s="61">
        <v>1472</v>
      </c>
      <c r="AC206" s="61">
        <f t="shared" si="11"/>
        <v>0</v>
      </c>
      <c r="AD206" s="66">
        <f t="shared" si="11"/>
        <v>2938112</v>
      </c>
    </row>
    <row r="207" spans="23:30" ht="15.75" customHeight="1" x14ac:dyDescent="0.25">
      <c r="W207" s="65" t="s">
        <v>446</v>
      </c>
      <c r="X207" s="47">
        <v>2021</v>
      </c>
      <c r="Y207" s="61">
        <v>1105</v>
      </c>
      <c r="Z207" s="62"/>
      <c r="AA207" s="61">
        <v>2605</v>
      </c>
      <c r="AB207" s="61"/>
      <c r="AC207" s="61">
        <f t="shared" si="11"/>
        <v>2878525</v>
      </c>
      <c r="AD207" s="66">
        <f t="shared" si="11"/>
        <v>0</v>
      </c>
    </row>
    <row r="208" spans="23:30" ht="15.75" customHeight="1" x14ac:dyDescent="0.25">
      <c r="W208" s="65" t="s">
        <v>446</v>
      </c>
      <c r="X208" s="47">
        <v>2022</v>
      </c>
      <c r="Y208" s="61">
        <v>992</v>
      </c>
      <c r="Z208" s="62"/>
      <c r="AA208" s="61">
        <v>2519</v>
      </c>
      <c r="AB208" s="61"/>
      <c r="AC208" s="61">
        <f t="shared" si="11"/>
        <v>2498848</v>
      </c>
      <c r="AD208" s="66">
        <f t="shared" si="11"/>
        <v>0</v>
      </c>
    </row>
    <row r="209" spans="23:30" ht="15.75" customHeight="1" x14ac:dyDescent="0.25">
      <c r="W209" s="65" t="s">
        <v>446</v>
      </c>
      <c r="X209" s="47">
        <v>2023</v>
      </c>
      <c r="Y209" s="61">
        <v>1343</v>
      </c>
      <c r="Z209" s="62"/>
      <c r="AA209" s="61">
        <v>1934</v>
      </c>
      <c r="AB209" s="61"/>
      <c r="AC209" s="61">
        <f t="shared" si="11"/>
        <v>2597362</v>
      </c>
      <c r="AD209" s="66">
        <f t="shared" si="11"/>
        <v>0</v>
      </c>
    </row>
    <row r="210" spans="23:30" ht="15.75" customHeight="1" x14ac:dyDescent="0.25">
      <c r="W210" s="65" t="s">
        <v>446</v>
      </c>
      <c r="X210" s="47">
        <v>2024</v>
      </c>
      <c r="Y210" s="61">
        <v>565</v>
      </c>
      <c r="Z210" s="62"/>
      <c r="AA210" s="61">
        <v>2014</v>
      </c>
      <c r="AB210" s="61"/>
      <c r="AC210" s="61">
        <f t="shared" si="11"/>
        <v>1137910</v>
      </c>
      <c r="AD210" s="66">
        <f t="shared" si="11"/>
        <v>0</v>
      </c>
    </row>
    <row r="211" spans="23:30" ht="15.75" customHeight="1" x14ac:dyDescent="0.25">
      <c r="W211" s="65" t="s">
        <v>162</v>
      </c>
      <c r="X211" s="47">
        <v>2021</v>
      </c>
      <c r="Y211" s="61">
        <v>3237</v>
      </c>
      <c r="Z211" s="62">
        <v>2</v>
      </c>
      <c r="AA211" s="61">
        <v>851</v>
      </c>
      <c r="AB211" s="61"/>
      <c r="AC211" s="61">
        <f t="shared" si="11"/>
        <v>2754687</v>
      </c>
      <c r="AD211" s="66">
        <f t="shared" si="11"/>
        <v>0</v>
      </c>
    </row>
    <row r="212" spans="23:30" ht="15.75" customHeight="1" x14ac:dyDescent="0.25">
      <c r="W212" s="65" t="s">
        <v>162</v>
      </c>
      <c r="X212" s="47">
        <v>2022</v>
      </c>
      <c r="Y212" s="61">
        <v>1757</v>
      </c>
      <c r="Z212" s="62">
        <v>2</v>
      </c>
      <c r="AA212" s="61">
        <v>1217</v>
      </c>
      <c r="AB212" s="61"/>
      <c r="AC212" s="61">
        <f t="shared" si="11"/>
        <v>2138269</v>
      </c>
      <c r="AD212" s="66">
        <f t="shared" si="11"/>
        <v>0</v>
      </c>
    </row>
    <row r="213" spans="23:30" ht="15.75" customHeight="1" x14ac:dyDescent="0.25">
      <c r="W213" s="65" t="s">
        <v>162</v>
      </c>
      <c r="X213" s="47">
        <v>2023</v>
      </c>
      <c r="Y213" s="61">
        <v>5877</v>
      </c>
      <c r="Z213" s="62">
        <v>3</v>
      </c>
      <c r="AA213" s="61">
        <v>725</v>
      </c>
      <c r="AB213" s="61"/>
      <c r="AC213" s="61">
        <f t="shared" si="11"/>
        <v>4260825</v>
      </c>
      <c r="AD213" s="66">
        <f t="shared" si="11"/>
        <v>0</v>
      </c>
    </row>
    <row r="214" spans="23:30" ht="15.75" customHeight="1" x14ac:dyDescent="0.25">
      <c r="W214" s="65" t="s">
        <v>162</v>
      </c>
      <c r="X214" s="47">
        <v>2024</v>
      </c>
      <c r="Y214" s="61">
        <v>84</v>
      </c>
      <c r="Z214" s="62"/>
      <c r="AA214" s="61">
        <v>1249</v>
      </c>
      <c r="AB214" s="61"/>
      <c r="AC214" s="61">
        <f t="shared" si="11"/>
        <v>104916</v>
      </c>
      <c r="AD214" s="66">
        <f t="shared" si="11"/>
        <v>0</v>
      </c>
    </row>
    <row r="215" spans="23:30" ht="15.75" customHeight="1" x14ac:dyDescent="0.25">
      <c r="W215" s="65" t="s">
        <v>447</v>
      </c>
      <c r="X215" s="47">
        <v>2021</v>
      </c>
      <c r="Y215" s="61">
        <v>1083</v>
      </c>
      <c r="Z215" s="62"/>
      <c r="AA215" s="61">
        <v>488</v>
      </c>
      <c r="AB215" s="61"/>
      <c r="AC215" s="61">
        <f t="shared" si="11"/>
        <v>528504</v>
      </c>
      <c r="AD215" s="66">
        <f t="shared" si="11"/>
        <v>0</v>
      </c>
    </row>
    <row r="216" spans="23:30" ht="15.75" customHeight="1" x14ac:dyDescent="0.25">
      <c r="W216" s="65" t="s">
        <v>447</v>
      </c>
      <c r="X216" s="47">
        <v>2022</v>
      </c>
      <c r="Y216" s="61">
        <v>1429</v>
      </c>
      <c r="Z216" s="62"/>
      <c r="AA216" s="61">
        <v>729</v>
      </c>
      <c r="AB216" s="61"/>
      <c r="AC216" s="61">
        <f t="shared" si="11"/>
        <v>1041741</v>
      </c>
      <c r="AD216" s="66">
        <f t="shared" si="11"/>
        <v>0</v>
      </c>
    </row>
    <row r="217" spans="23:30" ht="15.75" customHeight="1" x14ac:dyDescent="0.25">
      <c r="W217" s="65" t="s">
        <v>447</v>
      </c>
      <c r="X217" s="47">
        <v>2023</v>
      </c>
      <c r="Y217" s="61">
        <v>1750</v>
      </c>
      <c r="Z217" s="62"/>
      <c r="AA217" s="61">
        <v>551</v>
      </c>
      <c r="AB217" s="61"/>
      <c r="AC217" s="61">
        <f t="shared" si="11"/>
        <v>964250</v>
      </c>
      <c r="AD217" s="66">
        <f t="shared" si="11"/>
        <v>0</v>
      </c>
    </row>
    <row r="218" spans="23:30" ht="15.75" customHeight="1" x14ac:dyDescent="0.25">
      <c r="W218" s="65" t="s">
        <v>447</v>
      </c>
      <c r="X218" s="47">
        <v>2024</v>
      </c>
      <c r="Y218" s="61">
        <v>1302</v>
      </c>
      <c r="Z218" s="62"/>
      <c r="AA218" s="61">
        <v>472</v>
      </c>
      <c r="AB218" s="61"/>
      <c r="AC218" s="61">
        <f t="shared" si="11"/>
        <v>614544</v>
      </c>
      <c r="AD218" s="66">
        <f t="shared" si="11"/>
        <v>0</v>
      </c>
    </row>
    <row r="219" spans="23:30" ht="15.75" customHeight="1" x14ac:dyDescent="0.25">
      <c r="W219" s="65" t="s">
        <v>448</v>
      </c>
      <c r="X219" s="47">
        <v>2021</v>
      </c>
      <c r="Y219" s="61">
        <v>3048</v>
      </c>
      <c r="Z219" s="62">
        <v>10</v>
      </c>
      <c r="AA219" s="61">
        <v>980</v>
      </c>
      <c r="AB219" s="61"/>
      <c r="AC219" s="61">
        <f t="shared" si="11"/>
        <v>2987040</v>
      </c>
      <c r="AD219" s="66">
        <f t="shared" si="11"/>
        <v>0</v>
      </c>
    </row>
    <row r="220" spans="23:30" ht="15.75" customHeight="1" x14ac:dyDescent="0.25">
      <c r="W220" s="65" t="s">
        <v>448</v>
      </c>
      <c r="X220" s="47">
        <v>2022</v>
      </c>
      <c r="Y220" s="61">
        <v>3710</v>
      </c>
      <c r="Z220" s="62"/>
      <c r="AA220" s="61">
        <v>1340</v>
      </c>
      <c r="AB220" s="61"/>
      <c r="AC220" s="61">
        <f t="shared" si="11"/>
        <v>4971400</v>
      </c>
      <c r="AD220" s="66">
        <f t="shared" si="11"/>
        <v>0</v>
      </c>
    </row>
    <row r="221" spans="23:30" ht="15.75" customHeight="1" x14ac:dyDescent="0.25">
      <c r="W221" s="65" t="s">
        <v>448</v>
      </c>
      <c r="X221" s="47">
        <v>2023</v>
      </c>
      <c r="Y221" s="61">
        <v>2817</v>
      </c>
      <c r="Z221" s="62"/>
      <c r="AA221" s="61">
        <v>726</v>
      </c>
      <c r="AB221" s="61"/>
      <c r="AC221" s="61">
        <f t="shared" si="11"/>
        <v>2045142</v>
      </c>
      <c r="AD221" s="66">
        <f t="shared" si="11"/>
        <v>0</v>
      </c>
    </row>
    <row r="222" spans="23:30" ht="15.75" customHeight="1" x14ac:dyDescent="0.25">
      <c r="W222" s="65" t="s">
        <v>448</v>
      </c>
      <c r="X222" s="47">
        <v>2024</v>
      </c>
      <c r="Y222" s="61">
        <v>2810</v>
      </c>
      <c r="Z222" s="62"/>
      <c r="AA222" s="61">
        <v>786</v>
      </c>
      <c r="AB222" s="61"/>
      <c r="AC222" s="61">
        <f t="shared" si="11"/>
        <v>2208660</v>
      </c>
      <c r="AD222" s="66">
        <f t="shared" si="11"/>
        <v>0</v>
      </c>
    </row>
    <row r="223" spans="23:30" ht="15.75" customHeight="1" x14ac:dyDescent="0.25">
      <c r="W223" s="65" t="s">
        <v>449</v>
      </c>
      <c r="X223" s="47">
        <v>2021</v>
      </c>
      <c r="Y223" s="61"/>
      <c r="Z223" s="62"/>
      <c r="AA223" s="61"/>
      <c r="AB223" s="61"/>
      <c r="AC223" s="61">
        <f t="shared" si="11"/>
        <v>0</v>
      </c>
      <c r="AD223" s="66">
        <f t="shared" si="11"/>
        <v>0</v>
      </c>
    </row>
    <row r="224" spans="23:30" ht="15.75" customHeight="1" x14ac:dyDescent="0.25">
      <c r="W224" s="65" t="s">
        <v>449</v>
      </c>
      <c r="X224" s="47">
        <v>2022</v>
      </c>
      <c r="Y224" s="61"/>
      <c r="Z224" s="62"/>
      <c r="AA224" s="61"/>
      <c r="AB224" s="61"/>
      <c r="AC224" s="61">
        <f t="shared" si="11"/>
        <v>0</v>
      </c>
      <c r="AD224" s="66">
        <f t="shared" si="11"/>
        <v>0</v>
      </c>
    </row>
    <row r="225" spans="23:30" ht="15.75" customHeight="1" x14ac:dyDescent="0.25">
      <c r="W225" s="65" t="s">
        <v>449</v>
      </c>
      <c r="X225" s="47">
        <v>2023</v>
      </c>
      <c r="Y225" s="61"/>
      <c r="Z225" s="62"/>
      <c r="AA225" s="61"/>
      <c r="AB225" s="61"/>
      <c r="AC225" s="61">
        <f t="shared" ref="AC225:AD288" si="16">Y225*AA225</f>
        <v>0</v>
      </c>
      <c r="AD225" s="66">
        <f t="shared" si="16"/>
        <v>0</v>
      </c>
    </row>
    <row r="226" spans="23:30" ht="15.75" customHeight="1" x14ac:dyDescent="0.25">
      <c r="W226" s="65" t="s">
        <v>449</v>
      </c>
      <c r="X226" s="47">
        <v>2024</v>
      </c>
      <c r="Y226" s="61"/>
      <c r="Z226" s="62"/>
      <c r="AA226" s="61"/>
      <c r="AB226" s="61"/>
      <c r="AC226" s="61">
        <f t="shared" si="16"/>
        <v>0</v>
      </c>
      <c r="AD226" s="66">
        <f t="shared" si="16"/>
        <v>0</v>
      </c>
    </row>
    <row r="227" spans="23:30" ht="15.75" customHeight="1" x14ac:dyDescent="0.25">
      <c r="W227" s="65" t="s">
        <v>450</v>
      </c>
      <c r="X227" s="47">
        <v>2021</v>
      </c>
      <c r="Y227" s="61"/>
      <c r="Z227" s="62"/>
      <c r="AA227" s="61"/>
      <c r="AB227" s="61"/>
      <c r="AC227" s="61">
        <f t="shared" si="16"/>
        <v>0</v>
      </c>
      <c r="AD227" s="66">
        <f t="shared" si="16"/>
        <v>0</v>
      </c>
    </row>
    <row r="228" spans="23:30" ht="15.75" customHeight="1" x14ac:dyDescent="0.25">
      <c r="W228" s="65" t="s">
        <v>450</v>
      </c>
      <c r="X228" s="47">
        <v>2022</v>
      </c>
      <c r="Y228" s="61"/>
      <c r="Z228" s="62">
        <v>2677</v>
      </c>
      <c r="AA228" s="61"/>
      <c r="AB228" s="61" t="s">
        <v>451</v>
      </c>
      <c r="AC228" s="61">
        <f t="shared" si="16"/>
        <v>0</v>
      </c>
      <c r="AD228" s="66"/>
    </row>
    <row r="229" spans="23:30" ht="15.75" customHeight="1" x14ac:dyDescent="0.25">
      <c r="W229" s="65" t="s">
        <v>450</v>
      </c>
      <c r="X229" s="47">
        <v>2023</v>
      </c>
      <c r="Y229" s="61"/>
      <c r="Z229" s="62">
        <v>372</v>
      </c>
      <c r="AA229" s="61"/>
      <c r="AB229" s="61" t="s">
        <v>451</v>
      </c>
      <c r="AC229" s="61">
        <f t="shared" si="16"/>
        <v>0</v>
      </c>
      <c r="AD229" s="66"/>
    </row>
    <row r="230" spans="23:30" ht="15.75" customHeight="1" x14ac:dyDescent="0.25">
      <c r="W230" s="65" t="s">
        <v>450</v>
      </c>
      <c r="X230" s="47">
        <v>2024</v>
      </c>
      <c r="Y230" s="61"/>
      <c r="Z230" s="62">
        <v>596</v>
      </c>
      <c r="AA230" s="61"/>
      <c r="AB230" s="61" t="s">
        <v>451</v>
      </c>
      <c r="AC230" s="61">
        <f t="shared" si="16"/>
        <v>0</v>
      </c>
      <c r="AD230" s="66"/>
    </row>
    <row r="231" spans="23:30" ht="15.75" customHeight="1" x14ac:dyDescent="0.25">
      <c r="W231" s="65" t="s">
        <v>137</v>
      </c>
      <c r="X231" s="47">
        <v>2021</v>
      </c>
      <c r="Y231" s="61">
        <v>10934</v>
      </c>
      <c r="Z231" s="62">
        <v>108</v>
      </c>
      <c r="AA231" s="61">
        <v>2576</v>
      </c>
      <c r="AB231" s="61"/>
      <c r="AC231" s="61">
        <f t="shared" si="16"/>
        <v>28165984</v>
      </c>
      <c r="AD231" s="66">
        <f t="shared" si="16"/>
        <v>0</v>
      </c>
    </row>
    <row r="232" spans="23:30" ht="15.75" customHeight="1" x14ac:dyDescent="0.25">
      <c r="W232" s="65" t="s">
        <v>137</v>
      </c>
      <c r="X232" s="47">
        <v>2022</v>
      </c>
      <c r="Y232" s="61">
        <v>12603</v>
      </c>
      <c r="Z232" s="62">
        <v>56</v>
      </c>
      <c r="AA232" s="61">
        <v>3408</v>
      </c>
      <c r="AB232" s="61"/>
      <c r="AC232" s="61">
        <f t="shared" si="16"/>
        <v>42951024</v>
      </c>
      <c r="AD232" s="66">
        <f t="shared" si="16"/>
        <v>0</v>
      </c>
    </row>
    <row r="233" spans="23:30" ht="15.75" customHeight="1" x14ac:dyDescent="0.25">
      <c r="W233" s="65" t="s">
        <v>137</v>
      </c>
      <c r="X233" s="47">
        <v>2023</v>
      </c>
      <c r="Y233" s="61">
        <v>7873</v>
      </c>
      <c r="Z233" s="62">
        <v>69</v>
      </c>
      <c r="AA233" s="61">
        <v>3204</v>
      </c>
      <c r="AB233" s="61"/>
      <c r="AC233" s="61">
        <f t="shared" si="16"/>
        <v>25225092</v>
      </c>
      <c r="AD233" s="66">
        <f t="shared" si="16"/>
        <v>0</v>
      </c>
    </row>
    <row r="234" spans="23:30" ht="15.75" customHeight="1" x14ac:dyDescent="0.25">
      <c r="W234" s="65" t="s">
        <v>137</v>
      </c>
      <c r="X234" s="47">
        <v>2024</v>
      </c>
      <c r="Y234" s="61">
        <v>8633</v>
      </c>
      <c r="Z234" s="62">
        <v>60</v>
      </c>
      <c r="AA234" s="61">
        <v>2525</v>
      </c>
      <c r="AB234" s="61"/>
      <c r="AC234" s="61">
        <f t="shared" si="16"/>
        <v>21798325</v>
      </c>
      <c r="AD234" s="66">
        <f t="shared" si="16"/>
        <v>0</v>
      </c>
    </row>
    <row r="235" spans="23:30" ht="15.75" customHeight="1" x14ac:dyDescent="0.25">
      <c r="W235" s="65" t="s">
        <v>167</v>
      </c>
      <c r="X235" s="47">
        <v>2021</v>
      </c>
      <c r="Y235" s="61">
        <v>20451</v>
      </c>
      <c r="Z235" s="62"/>
      <c r="AA235" s="61">
        <v>785</v>
      </c>
      <c r="AB235" s="61"/>
      <c r="AC235" s="61">
        <f t="shared" si="16"/>
        <v>16054035</v>
      </c>
      <c r="AD235" s="66">
        <f t="shared" si="16"/>
        <v>0</v>
      </c>
    </row>
    <row r="236" spans="23:30" ht="15.75" customHeight="1" x14ac:dyDescent="0.25">
      <c r="W236" s="65" t="s">
        <v>167</v>
      </c>
      <c r="X236" s="47">
        <v>2022</v>
      </c>
      <c r="Y236" s="61"/>
      <c r="Z236" s="62"/>
      <c r="AA236" s="61"/>
      <c r="AB236" s="61"/>
      <c r="AC236" s="61">
        <f t="shared" si="16"/>
        <v>0</v>
      </c>
      <c r="AD236" s="66">
        <f t="shared" si="16"/>
        <v>0</v>
      </c>
    </row>
    <row r="237" spans="23:30" ht="15.75" customHeight="1" x14ac:dyDescent="0.25">
      <c r="W237" s="65" t="s">
        <v>167</v>
      </c>
      <c r="X237" s="47">
        <v>2023</v>
      </c>
      <c r="Y237" s="61"/>
      <c r="Z237" s="62"/>
      <c r="AA237" s="61"/>
      <c r="AB237" s="61"/>
      <c r="AC237" s="61">
        <f t="shared" si="16"/>
        <v>0</v>
      </c>
      <c r="AD237" s="66">
        <f t="shared" si="16"/>
        <v>0</v>
      </c>
    </row>
    <row r="238" spans="23:30" ht="15.75" customHeight="1" x14ac:dyDescent="0.25">
      <c r="W238" s="65" t="s">
        <v>167</v>
      </c>
      <c r="X238" s="47">
        <v>2024</v>
      </c>
      <c r="Y238" s="61"/>
      <c r="Z238" s="62"/>
      <c r="AA238" s="61"/>
      <c r="AB238" s="61"/>
      <c r="AC238" s="61">
        <f t="shared" si="16"/>
        <v>0</v>
      </c>
      <c r="AD238" s="66">
        <f t="shared" si="16"/>
        <v>0</v>
      </c>
    </row>
    <row r="239" spans="23:30" ht="15.75" customHeight="1" x14ac:dyDescent="0.25">
      <c r="W239" s="65" t="s">
        <v>139</v>
      </c>
      <c r="X239" s="47">
        <v>2021</v>
      </c>
      <c r="Y239" s="61">
        <v>2489</v>
      </c>
      <c r="Z239" s="62">
        <v>117</v>
      </c>
      <c r="AA239" s="61">
        <v>770</v>
      </c>
      <c r="AB239" s="61"/>
      <c r="AC239" s="61">
        <f t="shared" si="16"/>
        <v>1916530</v>
      </c>
      <c r="AD239" s="66">
        <f t="shared" si="16"/>
        <v>0</v>
      </c>
    </row>
    <row r="240" spans="23:30" ht="15.75" customHeight="1" x14ac:dyDescent="0.25">
      <c r="W240" s="65" t="s">
        <v>139</v>
      </c>
      <c r="X240" s="47">
        <v>2022</v>
      </c>
      <c r="Y240" s="61">
        <v>3519</v>
      </c>
      <c r="Z240" s="62"/>
      <c r="AA240" s="61">
        <v>982</v>
      </c>
      <c r="AB240" s="61"/>
      <c r="AC240" s="61">
        <f t="shared" si="16"/>
        <v>3455658</v>
      </c>
      <c r="AD240" s="66">
        <f t="shared" si="16"/>
        <v>0</v>
      </c>
    </row>
    <row r="241" spans="23:30" ht="15.75" customHeight="1" x14ac:dyDescent="0.25">
      <c r="W241" s="65" t="s">
        <v>139</v>
      </c>
      <c r="X241" s="47">
        <v>2023</v>
      </c>
      <c r="Y241" s="61">
        <v>3960</v>
      </c>
      <c r="Z241" s="62"/>
      <c r="AA241" s="61">
        <v>1023</v>
      </c>
      <c r="AB241" s="61"/>
      <c r="AC241" s="61">
        <f t="shared" si="16"/>
        <v>4051080</v>
      </c>
      <c r="AD241" s="66">
        <f t="shared" si="16"/>
        <v>0</v>
      </c>
    </row>
    <row r="242" spans="23:30" ht="15.75" customHeight="1" x14ac:dyDescent="0.25">
      <c r="W242" s="65" t="s">
        <v>139</v>
      </c>
      <c r="X242" s="47">
        <v>2024</v>
      </c>
      <c r="Y242" s="61">
        <v>1872</v>
      </c>
      <c r="Z242" s="62"/>
      <c r="AA242" s="61">
        <v>994</v>
      </c>
      <c r="AB242" s="61"/>
      <c r="AC242" s="61">
        <f t="shared" si="16"/>
        <v>1860768</v>
      </c>
      <c r="AD242" s="66">
        <f t="shared" si="16"/>
        <v>0</v>
      </c>
    </row>
    <row r="243" spans="23:30" ht="15.75" customHeight="1" x14ac:dyDescent="0.25">
      <c r="W243" s="65" t="s">
        <v>452</v>
      </c>
      <c r="X243" s="47">
        <v>2021</v>
      </c>
      <c r="Y243" s="61">
        <v>15930</v>
      </c>
      <c r="Z243" s="62">
        <v>333</v>
      </c>
      <c r="AA243" s="61">
        <v>1932</v>
      </c>
      <c r="AB243" s="61">
        <v>2915</v>
      </c>
      <c r="AC243" s="61">
        <f t="shared" si="16"/>
        <v>30776760</v>
      </c>
      <c r="AD243" s="66">
        <f t="shared" si="16"/>
        <v>970695</v>
      </c>
    </row>
    <row r="244" spans="23:30" ht="15.75" customHeight="1" x14ac:dyDescent="0.25">
      <c r="W244" s="65" t="s">
        <v>452</v>
      </c>
      <c r="X244" s="47">
        <v>2022</v>
      </c>
      <c r="Y244" s="61">
        <v>21106</v>
      </c>
      <c r="Z244" s="62">
        <v>237</v>
      </c>
      <c r="AA244" s="61">
        <v>2636</v>
      </c>
      <c r="AB244" s="61">
        <v>3290</v>
      </c>
      <c r="AC244" s="61">
        <f t="shared" si="16"/>
        <v>55635416</v>
      </c>
      <c r="AD244" s="66">
        <f t="shared" si="16"/>
        <v>779730</v>
      </c>
    </row>
    <row r="245" spans="23:30" ht="15.75" customHeight="1" x14ac:dyDescent="0.25">
      <c r="W245" s="65" t="s">
        <v>452</v>
      </c>
      <c r="X245" s="47">
        <v>2023</v>
      </c>
      <c r="Y245" s="61">
        <v>19720</v>
      </c>
      <c r="Z245" s="62">
        <v>44</v>
      </c>
      <c r="AA245" s="61">
        <v>2530</v>
      </c>
      <c r="AB245" s="61">
        <v>3769</v>
      </c>
      <c r="AC245" s="61">
        <f t="shared" si="16"/>
        <v>49891600</v>
      </c>
      <c r="AD245" s="66">
        <f t="shared" si="16"/>
        <v>165836</v>
      </c>
    </row>
    <row r="246" spans="23:30" ht="15.75" customHeight="1" x14ac:dyDescent="0.25">
      <c r="W246" s="65" t="s">
        <v>452</v>
      </c>
      <c r="X246" s="47">
        <v>2024</v>
      </c>
      <c r="Y246" s="61">
        <v>11893</v>
      </c>
      <c r="Z246" s="62">
        <v>88</v>
      </c>
      <c r="AA246" s="61">
        <v>2378</v>
      </c>
      <c r="AB246" s="61">
        <v>4140</v>
      </c>
      <c r="AC246" s="61">
        <f t="shared" si="16"/>
        <v>28281554</v>
      </c>
      <c r="AD246" s="66">
        <f t="shared" si="16"/>
        <v>364320</v>
      </c>
    </row>
    <row r="247" spans="23:30" ht="15.75" customHeight="1" x14ac:dyDescent="0.25">
      <c r="W247" s="65" t="s">
        <v>453</v>
      </c>
      <c r="X247" s="47">
        <v>2021</v>
      </c>
      <c r="Y247" s="61">
        <v>3777</v>
      </c>
      <c r="Z247" s="62">
        <v>2930</v>
      </c>
      <c r="AA247" s="61">
        <v>3075</v>
      </c>
      <c r="AB247" s="61"/>
      <c r="AC247" s="61">
        <f t="shared" si="16"/>
        <v>11614275</v>
      </c>
      <c r="AD247" s="66"/>
    </row>
    <row r="248" spans="23:30" ht="15.75" customHeight="1" x14ac:dyDescent="0.25">
      <c r="W248" s="65" t="s">
        <v>453</v>
      </c>
      <c r="X248" s="47">
        <v>2022</v>
      </c>
      <c r="Y248" s="61">
        <v>3546</v>
      </c>
      <c r="Z248" s="62">
        <v>639</v>
      </c>
      <c r="AA248" s="61">
        <v>3027</v>
      </c>
      <c r="AB248" s="61" t="s">
        <v>451</v>
      </c>
      <c r="AC248" s="61">
        <f t="shared" si="16"/>
        <v>10733742</v>
      </c>
      <c r="AD248" s="66"/>
    </row>
    <row r="249" spans="23:30" ht="15.75" customHeight="1" x14ac:dyDescent="0.25">
      <c r="W249" s="65" t="s">
        <v>453</v>
      </c>
      <c r="X249" s="47">
        <v>2023</v>
      </c>
      <c r="Y249" s="61">
        <v>2869</v>
      </c>
      <c r="Z249" s="62">
        <v>1262</v>
      </c>
      <c r="AA249" s="61">
        <v>2775</v>
      </c>
      <c r="AB249" s="61" t="s">
        <v>451</v>
      </c>
      <c r="AC249" s="61">
        <f t="shared" si="16"/>
        <v>7961475</v>
      </c>
      <c r="AD249" s="66"/>
    </row>
    <row r="250" spans="23:30" ht="15.75" customHeight="1" x14ac:dyDescent="0.25">
      <c r="W250" s="65" t="s">
        <v>453</v>
      </c>
      <c r="X250" s="47">
        <v>2024</v>
      </c>
      <c r="Y250" s="61">
        <v>5226</v>
      </c>
      <c r="Z250" s="62">
        <v>865</v>
      </c>
      <c r="AA250" s="61">
        <v>2404</v>
      </c>
      <c r="AB250" s="61" t="s">
        <v>451</v>
      </c>
      <c r="AC250" s="61">
        <f t="shared" si="16"/>
        <v>12563304</v>
      </c>
      <c r="AD250" s="66"/>
    </row>
    <row r="251" spans="23:30" ht="15.75" customHeight="1" x14ac:dyDescent="0.25">
      <c r="W251" s="65" t="s">
        <v>454</v>
      </c>
      <c r="X251" s="47">
        <v>2021</v>
      </c>
      <c r="Y251" s="61">
        <v>228</v>
      </c>
      <c r="Z251" s="62"/>
      <c r="AA251" s="61">
        <v>2235</v>
      </c>
      <c r="AB251" s="61"/>
      <c r="AC251" s="61">
        <f t="shared" si="16"/>
        <v>509580</v>
      </c>
      <c r="AD251" s="66">
        <f t="shared" si="16"/>
        <v>0</v>
      </c>
    </row>
    <row r="252" spans="23:30" ht="15.75" customHeight="1" x14ac:dyDescent="0.25">
      <c r="W252" s="65" t="s">
        <v>454</v>
      </c>
      <c r="X252" s="47">
        <v>2022</v>
      </c>
      <c r="Y252" s="61">
        <v>271</v>
      </c>
      <c r="Z252" s="62"/>
      <c r="AA252" s="61">
        <v>3145</v>
      </c>
      <c r="AB252" s="61"/>
      <c r="AC252" s="61">
        <f t="shared" si="16"/>
        <v>852295</v>
      </c>
      <c r="AD252" s="66">
        <f t="shared" si="16"/>
        <v>0</v>
      </c>
    </row>
    <row r="253" spans="23:30" ht="15.75" customHeight="1" x14ac:dyDescent="0.25">
      <c r="W253" s="65" t="s">
        <v>454</v>
      </c>
      <c r="X253" s="47">
        <v>2023</v>
      </c>
      <c r="Y253" s="61">
        <v>134</v>
      </c>
      <c r="Z253" s="62"/>
      <c r="AA253" s="61">
        <v>2392</v>
      </c>
      <c r="AB253" s="61"/>
      <c r="AC253" s="61">
        <f t="shared" si="16"/>
        <v>320528</v>
      </c>
      <c r="AD253" s="66">
        <f t="shared" si="16"/>
        <v>0</v>
      </c>
    </row>
    <row r="254" spans="23:30" ht="15.75" customHeight="1" x14ac:dyDescent="0.25">
      <c r="W254" s="65" t="s">
        <v>454</v>
      </c>
      <c r="X254" s="47">
        <v>2024</v>
      </c>
      <c r="Y254" s="61">
        <v>136</v>
      </c>
      <c r="Z254" s="62"/>
      <c r="AA254" s="61">
        <v>1327</v>
      </c>
      <c r="AB254" s="61"/>
      <c r="AC254" s="61">
        <f t="shared" si="16"/>
        <v>180472</v>
      </c>
      <c r="AD254" s="66">
        <f t="shared" si="16"/>
        <v>0</v>
      </c>
    </row>
    <row r="255" spans="23:30" ht="15.75" customHeight="1" x14ac:dyDescent="0.25">
      <c r="W255" s="65" t="s">
        <v>170</v>
      </c>
      <c r="X255" s="47">
        <v>2021</v>
      </c>
      <c r="Y255" s="61">
        <v>1295</v>
      </c>
      <c r="Z255" s="62">
        <v>8</v>
      </c>
      <c r="AA255" s="61">
        <v>2904</v>
      </c>
      <c r="AB255" s="61"/>
      <c r="AC255" s="61">
        <f t="shared" si="16"/>
        <v>3760680</v>
      </c>
      <c r="AD255" s="66">
        <f t="shared" si="16"/>
        <v>0</v>
      </c>
    </row>
    <row r="256" spans="23:30" ht="15.75" customHeight="1" x14ac:dyDescent="0.25">
      <c r="W256" s="65" t="s">
        <v>170</v>
      </c>
      <c r="X256" s="47">
        <v>2022</v>
      </c>
      <c r="Y256" s="61">
        <v>1206</v>
      </c>
      <c r="Z256" s="62"/>
      <c r="AA256" s="61">
        <v>4179</v>
      </c>
      <c r="AB256" s="61"/>
      <c r="AC256" s="61">
        <f t="shared" si="16"/>
        <v>5039874</v>
      </c>
      <c r="AD256" s="66">
        <f t="shared" si="16"/>
        <v>0</v>
      </c>
    </row>
    <row r="257" spans="23:30" ht="15.75" customHeight="1" x14ac:dyDescent="0.25">
      <c r="W257" s="65" t="s">
        <v>170</v>
      </c>
      <c r="X257" s="47">
        <v>2023</v>
      </c>
      <c r="Y257" s="61">
        <v>955</v>
      </c>
      <c r="Z257" s="62"/>
      <c r="AA257" s="61">
        <v>2113</v>
      </c>
      <c r="AB257" s="61"/>
      <c r="AC257" s="61">
        <f t="shared" si="16"/>
        <v>2017915</v>
      </c>
      <c r="AD257" s="66">
        <f t="shared" si="16"/>
        <v>0</v>
      </c>
    </row>
    <row r="258" spans="23:30" ht="15.75" customHeight="1" x14ac:dyDescent="0.25">
      <c r="W258" s="65" t="s">
        <v>170</v>
      </c>
      <c r="X258" s="47">
        <v>2024</v>
      </c>
      <c r="Y258" s="61">
        <v>915</v>
      </c>
      <c r="Z258" s="62"/>
      <c r="AA258" s="61">
        <v>1878</v>
      </c>
      <c r="AB258" s="61"/>
      <c r="AC258" s="61">
        <f t="shared" si="16"/>
        <v>1718370</v>
      </c>
      <c r="AD258" s="66">
        <f t="shared" si="16"/>
        <v>0</v>
      </c>
    </row>
    <row r="259" spans="23:30" ht="15.75" customHeight="1" x14ac:dyDescent="0.25">
      <c r="W259" s="65" t="s">
        <v>173</v>
      </c>
      <c r="X259" s="47">
        <v>2021</v>
      </c>
      <c r="Y259" s="61">
        <v>7971</v>
      </c>
      <c r="Z259" s="62">
        <v>5004</v>
      </c>
      <c r="AA259" s="61">
        <v>1366</v>
      </c>
      <c r="AB259" s="61">
        <v>1527</v>
      </c>
      <c r="AC259" s="61">
        <f t="shared" si="16"/>
        <v>10888386</v>
      </c>
      <c r="AD259" s="66">
        <f t="shared" si="16"/>
        <v>7641108</v>
      </c>
    </row>
    <row r="260" spans="23:30" ht="15.75" customHeight="1" x14ac:dyDescent="0.25">
      <c r="W260" s="65" t="s">
        <v>173</v>
      </c>
      <c r="X260" s="47">
        <v>2022</v>
      </c>
      <c r="Y260" s="61">
        <v>11899</v>
      </c>
      <c r="Z260" s="62">
        <v>3348</v>
      </c>
      <c r="AA260" s="61">
        <v>1658</v>
      </c>
      <c r="AB260" s="61">
        <v>1769</v>
      </c>
      <c r="AC260" s="61">
        <f t="shared" si="16"/>
        <v>19728542</v>
      </c>
      <c r="AD260" s="66">
        <f t="shared" si="16"/>
        <v>5922612</v>
      </c>
    </row>
    <row r="261" spans="23:30" ht="15.75" customHeight="1" x14ac:dyDescent="0.25">
      <c r="W261" s="65" t="s">
        <v>173</v>
      </c>
      <c r="X261" s="47">
        <v>2023</v>
      </c>
      <c r="Y261" s="61">
        <v>19810</v>
      </c>
      <c r="Z261" s="62">
        <v>2946</v>
      </c>
      <c r="AA261" s="61">
        <v>1285</v>
      </c>
      <c r="AB261" s="61">
        <v>1374</v>
      </c>
      <c r="AC261" s="61">
        <f t="shared" si="16"/>
        <v>25455850</v>
      </c>
      <c r="AD261" s="66">
        <f t="shared" si="16"/>
        <v>4047804</v>
      </c>
    </row>
    <row r="262" spans="23:30" ht="15.75" customHeight="1" x14ac:dyDescent="0.25">
      <c r="W262" s="65" t="s">
        <v>173</v>
      </c>
      <c r="X262" s="47">
        <v>2024</v>
      </c>
      <c r="Y262" s="61">
        <v>212</v>
      </c>
      <c r="Z262" s="62">
        <v>6054</v>
      </c>
      <c r="AA262" s="61">
        <v>1658</v>
      </c>
      <c r="AB262" s="61">
        <v>1399</v>
      </c>
      <c r="AC262" s="61">
        <f t="shared" si="16"/>
        <v>351496</v>
      </c>
      <c r="AD262" s="66">
        <f t="shared" si="16"/>
        <v>8469546</v>
      </c>
    </row>
    <row r="263" spans="23:30" ht="15.75" customHeight="1" x14ac:dyDescent="0.25">
      <c r="W263" s="65" t="s">
        <v>455</v>
      </c>
      <c r="X263" s="47">
        <v>2021</v>
      </c>
      <c r="Y263" s="61">
        <v>5587</v>
      </c>
      <c r="Z263" s="62">
        <v>21</v>
      </c>
      <c r="AA263" s="61">
        <v>1591</v>
      </c>
      <c r="AB263" s="61"/>
      <c r="AC263" s="61">
        <f t="shared" si="16"/>
        <v>8888917</v>
      </c>
      <c r="AD263" s="66">
        <f t="shared" si="16"/>
        <v>0</v>
      </c>
    </row>
    <row r="264" spans="23:30" ht="15.75" customHeight="1" x14ac:dyDescent="0.25">
      <c r="W264" s="65" t="s">
        <v>455</v>
      </c>
      <c r="X264" s="47">
        <v>2022</v>
      </c>
      <c r="Y264" s="61">
        <v>4869</v>
      </c>
      <c r="Z264" s="62">
        <v>14</v>
      </c>
      <c r="AA264" s="61">
        <v>2097</v>
      </c>
      <c r="AB264" s="61"/>
      <c r="AC264" s="61">
        <f t="shared" si="16"/>
        <v>10210293</v>
      </c>
      <c r="AD264" s="66">
        <f t="shared" si="16"/>
        <v>0</v>
      </c>
    </row>
    <row r="265" spans="23:30" ht="15.75" customHeight="1" x14ac:dyDescent="0.25">
      <c r="W265" s="65" t="s">
        <v>455</v>
      </c>
      <c r="X265" s="47">
        <v>2023</v>
      </c>
      <c r="Y265" s="61">
        <v>4789</v>
      </c>
      <c r="Z265" s="62">
        <v>1</v>
      </c>
      <c r="AA265" s="61">
        <v>1854</v>
      </c>
      <c r="AB265" s="61"/>
      <c r="AC265" s="61">
        <f t="shared" si="16"/>
        <v>8878806</v>
      </c>
      <c r="AD265" s="66">
        <f t="shared" si="16"/>
        <v>0</v>
      </c>
    </row>
    <row r="266" spans="23:30" ht="15.75" customHeight="1" x14ac:dyDescent="0.25">
      <c r="W266" s="65" t="s">
        <v>455</v>
      </c>
      <c r="X266" s="47">
        <v>2024</v>
      </c>
      <c r="Y266" s="61">
        <v>4477</v>
      </c>
      <c r="Z266" s="62"/>
      <c r="AA266" s="61">
        <v>1765</v>
      </c>
      <c r="AB266" s="61"/>
      <c r="AC266" s="61">
        <f t="shared" si="16"/>
        <v>7901905</v>
      </c>
      <c r="AD266" s="66">
        <f t="shared" si="16"/>
        <v>0</v>
      </c>
    </row>
    <row r="267" spans="23:30" ht="15.75" customHeight="1" x14ac:dyDescent="0.25">
      <c r="W267" s="65" t="s">
        <v>456</v>
      </c>
      <c r="X267" s="47">
        <v>2021</v>
      </c>
      <c r="Y267" s="61">
        <v>7745</v>
      </c>
      <c r="Z267" s="62">
        <v>1416</v>
      </c>
      <c r="AA267" s="61">
        <v>2127</v>
      </c>
      <c r="AB267" s="61">
        <v>2090</v>
      </c>
      <c r="AC267" s="61">
        <f t="shared" si="16"/>
        <v>16473615</v>
      </c>
      <c r="AD267" s="66">
        <f t="shared" si="16"/>
        <v>2959440</v>
      </c>
    </row>
    <row r="268" spans="23:30" ht="15.75" customHeight="1" x14ac:dyDescent="0.25">
      <c r="W268" s="65" t="s">
        <v>456</v>
      </c>
      <c r="X268" s="47">
        <v>2022</v>
      </c>
      <c r="Y268" s="61">
        <v>6424</v>
      </c>
      <c r="Z268" s="62">
        <v>2100</v>
      </c>
      <c r="AA268" s="61">
        <v>2863</v>
      </c>
      <c r="AB268" s="61">
        <v>2500</v>
      </c>
      <c r="AC268" s="61">
        <f t="shared" si="16"/>
        <v>18391912</v>
      </c>
      <c r="AD268" s="66">
        <f t="shared" si="16"/>
        <v>5250000</v>
      </c>
    </row>
    <row r="269" spans="23:30" ht="15.75" customHeight="1" x14ac:dyDescent="0.25">
      <c r="W269" s="65" t="s">
        <v>456</v>
      </c>
      <c r="X269" s="47">
        <v>2023</v>
      </c>
      <c r="Y269" s="61">
        <v>5848</v>
      </c>
      <c r="Z269" s="62">
        <v>754</v>
      </c>
      <c r="AA269" s="61">
        <v>2270</v>
      </c>
      <c r="AB269" s="61">
        <v>2200</v>
      </c>
      <c r="AC269" s="61">
        <f t="shared" si="16"/>
        <v>13274960</v>
      </c>
      <c r="AD269" s="66">
        <f t="shared" si="16"/>
        <v>1658800</v>
      </c>
    </row>
    <row r="270" spans="23:30" ht="15.75" customHeight="1" x14ac:dyDescent="0.25">
      <c r="W270" s="65" t="s">
        <v>456</v>
      </c>
      <c r="X270" s="47">
        <v>2024</v>
      </c>
      <c r="Y270" s="61">
        <v>6651</v>
      </c>
      <c r="Z270" s="62">
        <v>541</v>
      </c>
      <c r="AA270" s="61">
        <v>2201</v>
      </c>
      <c r="AB270" s="61">
        <v>2200</v>
      </c>
      <c r="AC270" s="61">
        <f t="shared" si="16"/>
        <v>14638851</v>
      </c>
      <c r="AD270" s="66">
        <f t="shared" si="16"/>
        <v>1190200</v>
      </c>
    </row>
    <row r="271" spans="23:30" ht="15.75" customHeight="1" x14ac:dyDescent="0.25">
      <c r="W271" s="65" t="s">
        <v>180</v>
      </c>
      <c r="X271" s="47">
        <v>2021</v>
      </c>
      <c r="Y271" s="61">
        <v>11710</v>
      </c>
      <c r="Z271" s="62"/>
      <c r="AA271" s="61">
        <v>1045</v>
      </c>
      <c r="AB271" s="61"/>
      <c r="AC271" s="61">
        <f t="shared" si="16"/>
        <v>12236950</v>
      </c>
      <c r="AD271" s="66">
        <f t="shared" si="16"/>
        <v>0</v>
      </c>
    </row>
    <row r="272" spans="23:30" ht="15.75" customHeight="1" x14ac:dyDescent="0.25">
      <c r="W272" s="65" t="s">
        <v>180</v>
      </c>
      <c r="X272" s="47">
        <v>2022</v>
      </c>
      <c r="Y272" s="61">
        <v>13544</v>
      </c>
      <c r="Z272" s="62"/>
      <c r="AA272" s="61">
        <v>1373</v>
      </c>
      <c r="AB272" s="61"/>
      <c r="AC272" s="61">
        <f t="shared" si="16"/>
        <v>18595912</v>
      </c>
      <c r="AD272" s="66">
        <f t="shared" si="16"/>
        <v>0</v>
      </c>
    </row>
    <row r="273" spans="23:30" ht="15.75" customHeight="1" x14ac:dyDescent="0.25">
      <c r="W273" s="65" t="s">
        <v>180</v>
      </c>
      <c r="X273" s="47">
        <v>2023</v>
      </c>
      <c r="Y273" s="61"/>
      <c r="Z273" s="62"/>
      <c r="AA273" s="61"/>
      <c r="AB273" s="61"/>
      <c r="AC273" s="61">
        <f t="shared" si="16"/>
        <v>0</v>
      </c>
      <c r="AD273" s="66">
        <f t="shared" si="16"/>
        <v>0</v>
      </c>
    </row>
    <row r="274" spans="23:30" ht="15.75" customHeight="1" x14ac:dyDescent="0.25">
      <c r="W274" s="65" t="s">
        <v>180</v>
      </c>
      <c r="X274" s="47">
        <v>2024</v>
      </c>
      <c r="Y274" s="61"/>
      <c r="Z274" s="62"/>
      <c r="AA274" s="61"/>
      <c r="AB274" s="61"/>
      <c r="AC274" s="61">
        <f t="shared" si="16"/>
        <v>0</v>
      </c>
      <c r="AD274" s="66">
        <f t="shared" si="16"/>
        <v>0</v>
      </c>
    </row>
    <row r="275" spans="23:30" ht="15.75" customHeight="1" x14ac:dyDescent="0.25">
      <c r="W275" s="65" t="s">
        <v>457</v>
      </c>
      <c r="X275" s="47">
        <v>2021</v>
      </c>
      <c r="Y275" s="61">
        <v>80093</v>
      </c>
      <c r="Z275" s="62">
        <v>64</v>
      </c>
      <c r="AA275" s="61">
        <v>650</v>
      </c>
      <c r="AB275" s="61"/>
      <c r="AC275" s="61">
        <f t="shared" si="16"/>
        <v>52060450</v>
      </c>
      <c r="AD275" s="66">
        <f t="shared" si="16"/>
        <v>0</v>
      </c>
    </row>
    <row r="276" spans="23:30" ht="15.75" customHeight="1" x14ac:dyDescent="0.25">
      <c r="W276" s="65" t="s">
        <v>457</v>
      </c>
      <c r="X276" s="47">
        <v>2022</v>
      </c>
      <c r="Y276" s="61">
        <v>88535</v>
      </c>
      <c r="Z276" s="62">
        <v>20</v>
      </c>
      <c r="AA276" s="61">
        <v>602</v>
      </c>
      <c r="AB276" s="61"/>
      <c r="AC276" s="61">
        <f t="shared" si="16"/>
        <v>53298070</v>
      </c>
      <c r="AD276" s="66">
        <f t="shared" si="16"/>
        <v>0</v>
      </c>
    </row>
    <row r="277" spans="23:30" ht="15.75" customHeight="1" x14ac:dyDescent="0.25">
      <c r="W277" s="65" t="s">
        <v>457</v>
      </c>
      <c r="X277" s="47">
        <v>2023</v>
      </c>
      <c r="Y277" s="61">
        <v>79718</v>
      </c>
      <c r="Z277" s="62">
        <v>3</v>
      </c>
      <c r="AA277" s="61">
        <v>484</v>
      </c>
      <c r="AB277" s="61"/>
      <c r="AC277" s="61">
        <f t="shared" si="16"/>
        <v>38583512</v>
      </c>
      <c r="AD277" s="66">
        <f t="shared" si="16"/>
        <v>0</v>
      </c>
    </row>
    <row r="278" spans="23:30" ht="15.75" customHeight="1" x14ac:dyDescent="0.25">
      <c r="W278" s="65" t="s">
        <v>457</v>
      </c>
      <c r="X278" s="47">
        <v>2024</v>
      </c>
      <c r="Y278" s="61">
        <v>55325</v>
      </c>
      <c r="Z278" s="62">
        <v>5</v>
      </c>
      <c r="AA278" s="61">
        <v>558</v>
      </c>
      <c r="AB278" s="61"/>
      <c r="AC278" s="61">
        <f t="shared" si="16"/>
        <v>30871350</v>
      </c>
      <c r="AD278" s="66">
        <f t="shared" si="16"/>
        <v>0</v>
      </c>
    </row>
    <row r="279" spans="23:30" ht="15.75" customHeight="1" x14ac:dyDescent="0.25">
      <c r="W279" s="65" t="s">
        <v>107</v>
      </c>
      <c r="X279" s="47">
        <v>2021</v>
      </c>
      <c r="Y279" s="61">
        <v>33</v>
      </c>
      <c r="Z279" s="62">
        <v>8181</v>
      </c>
      <c r="AA279" s="61"/>
      <c r="AB279" s="61"/>
      <c r="AC279" s="61">
        <f t="shared" si="16"/>
        <v>0</v>
      </c>
      <c r="AD279" s="66">
        <f t="shared" si="16"/>
        <v>0</v>
      </c>
    </row>
    <row r="280" spans="23:30" ht="15.75" customHeight="1" x14ac:dyDescent="0.25">
      <c r="W280" s="65" t="s">
        <v>107</v>
      </c>
      <c r="X280" s="47">
        <v>2022</v>
      </c>
      <c r="Y280" s="61">
        <v>35626</v>
      </c>
      <c r="Z280" s="62"/>
      <c r="AA280" s="61">
        <v>1373</v>
      </c>
      <c r="AB280" s="61"/>
      <c r="AC280" s="61">
        <f t="shared" si="16"/>
        <v>48914498</v>
      </c>
      <c r="AD280" s="66">
        <f t="shared" si="16"/>
        <v>0</v>
      </c>
    </row>
    <row r="281" spans="23:30" ht="15.75" customHeight="1" x14ac:dyDescent="0.25">
      <c r="W281" s="65" t="s">
        <v>107</v>
      </c>
      <c r="X281" s="47">
        <v>2023</v>
      </c>
      <c r="Y281" s="61">
        <v>9408</v>
      </c>
      <c r="Z281" s="62"/>
      <c r="AA281" s="61">
        <v>1043</v>
      </c>
      <c r="AB281" s="61"/>
      <c r="AC281" s="61">
        <f t="shared" si="16"/>
        <v>9812544</v>
      </c>
      <c r="AD281" s="66">
        <f t="shared" si="16"/>
        <v>0</v>
      </c>
    </row>
    <row r="282" spans="23:30" ht="15.75" customHeight="1" x14ac:dyDescent="0.25">
      <c r="W282" s="65" t="s">
        <v>107</v>
      </c>
      <c r="X282" s="47">
        <v>2024</v>
      </c>
      <c r="Y282" s="61">
        <v>43300</v>
      </c>
      <c r="Z282" s="62"/>
      <c r="AA282" s="61">
        <v>946</v>
      </c>
      <c r="AB282" s="61"/>
      <c r="AC282" s="61">
        <f t="shared" si="16"/>
        <v>40961800</v>
      </c>
      <c r="AD282" s="66">
        <f t="shared" si="16"/>
        <v>0</v>
      </c>
    </row>
    <row r="283" spans="23:30" ht="15.75" customHeight="1" x14ac:dyDescent="0.25">
      <c r="W283" s="65" t="s">
        <v>186</v>
      </c>
      <c r="X283" s="47">
        <v>2021</v>
      </c>
      <c r="Y283" s="61">
        <v>14644</v>
      </c>
      <c r="Z283" s="62">
        <v>50</v>
      </c>
      <c r="AA283" s="61">
        <v>1332</v>
      </c>
      <c r="AB283" s="61"/>
      <c r="AC283" s="61">
        <f t="shared" si="16"/>
        <v>19505808</v>
      </c>
      <c r="AD283" s="66">
        <f t="shared" si="16"/>
        <v>0</v>
      </c>
    </row>
    <row r="284" spans="23:30" ht="15.75" customHeight="1" x14ac:dyDescent="0.25">
      <c r="W284" s="65" t="s">
        <v>186</v>
      </c>
      <c r="X284" s="47">
        <v>2022</v>
      </c>
      <c r="Y284" s="61">
        <v>13853</v>
      </c>
      <c r="Z284" s="62">
        <v>1</v>
      </c>
      <c r="AA284" s="61">
        <v>1697</v>
      </c>
      <c r="AB284" s="61"/>
      <c r="AC284" s="61">
        <f t="shared" si="16"/>
        <v>23508541</v>
      </c>
      <c r="AD284" s="66">
        <f t="shared" si="16"/>
        <v>0</v>
      </c>
    </row>
    <row r="285" spans="23:30" ht="15.75" customHeight="1" x14ac:dyDescent="0.25">
      <c r="W285" s="65" t="s">
        <v>186</v>
      </c>
      <c r="X285" s="47">
        <v>2023</v>
      </c>
      <c r="Y285" s="61">
        <v>9860</v>
      </c>
      <c r="Z285" s="62"/>
      <c r="AA285" s="61">
        <v>1625</v>
      </c>
      <c r="AB285" s="61"/>
      <c r="AC285" s="61">
        <f t="shared" si="16"/>
        <v>16022500</v>
      </c>
      <c r="AD285" s="66">
        <f t="shared" si="16"/>
        <v>0</v>
      </c>
    </row>
    <row r="286" spans="23:30" ht="15.75" customHeight="1" x14ac:dyDescent="0.25">
      <c r="W286" s="65" t="s">
        <v>186</v>
      </c>
      <c r="X286" s="47">
        <v>2024</v>
      </c>
      <c r="Y286" s="61">
        <v>11375</v>
      </c>
      <c r="Z286" s="62"/>
      <c r="AA286" s="61">
        <v>1673</v>
      </c>
      <c r="AB286" s="61"/>
      <c r="AC286" s="61">
        <f t="shared" si="16"/>
        <v>19030375</v>
      </c>
      <c r="AD286" s="66">
        <f t="shared" si="16"/>
        <v>0</v>
      </c>
    </row>
    <row r="287" spans="23:30" ht="15.75" customHeight="1" x14ac:dyDescent="0.25">
      <c r="W287" s="65" t="s">
        <v>458</v>
      </c>
      <c r="X287" s="47">
        <v>2021</v>
      </c>
      <c r="Y287" s="61">
        <v>11726</v>
      </c>
      <c r="Z287" s="62">
        <v>1</v>
      </c>
      <c r="AA287" s="61">
        <v>613</v>
      </c>
      <c r="AB287" s="61"/>
      <c r="AC287" s="61">
        <f t="shared" si="16"/>
        <v>7188038</v>
      </c>
      <c r="AD287" s="66">
        <f t="shared" si="16"/>
        <v>0</v>
      </c>
    </row>
    <row r="288" spans="23:30" ht="15.75" customHeight="1" x14ac:dyDescent="0.25">
      <c r="W288" s="65" t="s">
        <v>458</v>
      </c>
      <c r="X288" s="47">
        <v>2022</v>
      </c>
      <c r="Y288" s="61">
        <v>4130</v>
      </c>
      <c r="Z288" s="62">
        <v>1747</v>
      </c>
      <c r="AA288" s="61">
        <v>704</v>
      </c>
      <c r="AB288" s="61">
        <v>878</v>
      </c>
      <c r="AC288" s="61">
        <f t="shared" si="16"/>
        <v>2907520</v>
      </c>
      <c r="AD288" s="66">
        <f t="shared" si="16"/>
        <v>1533866</v>
      </c>
    </row>
    <row r="289" spans="23:30" ht="15.75" customHeight="1" x14ac:dyDescent="0.25">
      <c r="W289" s="65" t="s">
        <v>458</v>
      </c>
      <c r="X289" s="47">
        <v>2023</v>
      </c>
      <c r="Y289" s="61">
        <v>329</v>
      </c>
      <c r="Z289" s="62">
        <v>458</v>
      </c>
      <c r="AA289" s="61">
        <v>643</v>
      </c>
      <c r="AB289" s="61">
        <v>846</v>
      </c>
      <c r="AC289" s="61">
        <f t="shared" ref="AC289:AD319" si="17">Y289*AA289</f>
        <v>211547</v>
      </c>
      <c r="AD289" s="66">
        <f t="shared" si="17"/>
        <v>387468</v>
      </c>
    </row>
    <row r="290" spans="23:30" ht="15.75" customHeight="1" x14ac:dyDescent="0.25">
      <c r="W290" s="65" t="s">
        <v>458</v>
      </c>
      <c r="X290" s="47">
        <v>2024</v>
      </c>
      <c r="Y290" s="61">
        <v>646</v>
      </c>
      <c r="Z290" s="62">
        <v>595</v>
      </c>
      <c r="AA290" s="61">
        <v>511</v>
      </c>
      <c r="AB290" s="61">
        <v>850</v>
      </c>
      <c r="AC290" s="61">
        <f t="shared" si="17"/>
        <v>330106</v>
      </c>
      <c r="AD290" s="66">
        <f t="shared" si="17"/>
        <v>505750</v>
      </c>
    </row>
    <row r="291" spans="23:30" ht="15.75" customHeight="1" x14ac:dyDescent="0.25">
      <c r="W291" s="65" t="s">
        <v>459</v>
      </c>
      <c r="X291" s="47">
        <v>2021</v>
      </c>
      <c r="Y291" s="61">
        <v>402872</v>
      </c>
      <c r="Z291" s="62">
        <v>4</v>
      </c>
      <c r="AA291" s="61">
        <v>517</v>
      </c>
      <c r="AB291" s="61"/>
      <c r="AC291" s="61">
        <f t="shared" si="17"/>
        <v>208284824</v>
      </c>
      <c r="AD291" s="66">
        <f t="shared" si="17"/>
        <v>0</v>
      </c>
    </row>
    <row r="292" spans="23:30" ht="15.75" customHeight="1" x14ac:dyDescent="0.25">
      <c r="W292" s="65" t="s">
        <v>459</v>
      </c>
      <c r="X292" s="47">
        <v>2022</v>
      </c>
      <c r="Y292" s="61">
        <v>253082</v>
      </c>
      <c r="Z292" s="62">
        <v>2</v>
      </c>
      <c r="AA292" s="61">
        <v>1037</v>
      </c>
      <c r="AB292" s="61"/>
      <c r="AC292" s="61">
        <f t="shared" si="17"/>
        <v>262446034</v>
      </c>
      <c r="AD292" s="66">
        <f t="shared" si="17"/>
        <v>0</v>
      </c>
    </row>
    <row r="293" spans="23:30" ht="15.75" customHeight="1" x14ac:dyDescent="0.25">
      <c r="W293" s="65" t="s">
        <v>459</v>
      </c>
      <c r="X293" s="47">
        <v>2023</v>
      </c>
      <c r="Y293" s="61">
        <v>289345</v>
      </c>
      <c r="Z293" s="62">
        <v>28</v>
      </c>
      <c r="AA293" s="61">
        <v>608</v>
      </c>
      <c r="AB293" s="61"/>
      <c r="AC293" s="61">
        <f t="shared" si="17"/>
        <v>175921760</v>
      </c>
      <c r="AD293" s="66">
        <f t="shared" si="17"/>
        <v>0</v>
      </c>
    </row>
    <row r="294" spans="23:30" ht="15.75" customHeight="1" x14ac:dyDescent="0.25">
      <c r="W294" s="65" t="s">
        <v>459</v>
      </c>
      <c r="X294" s="47">
        <v>2024</v>
      </c>
      <c r="Y294" s="61">
        <v>280926</v>
      </c>
      <c r="Z294" s="62"/>
      <c r="AA294" s="61">
        <v>611</v>
      </c>
      <c r="AB294" s="61"/>
      <c r="AC294" s="61">
        <f t="shared" si="17"/>
        <v>171645786</v>
      </c>
      <c r="AD294" s="66">
        <f t="shared" si="17"/>
        <v>0</v>
      </c>
    </row>
    <row r="295" spans="23:30" ht="15.75" customHeight="1" x14ac:dyDescent="0.25">
      <c r="W295" s="65" t="s">
        <v>460</v>
      </c>
      <c r="X295" s="47">
        <v>2021</v>
      </c>
      <c r="Y295" s="61">
        <v>941827</v>
      </c>
      <c r="Z295" s="62"/>
      <c r="AA295" s="61">
        <v>626</v>
      </c>
      <c r="AB295" s="61"/>
      <c r="AC295" s="61">
        <f t="shared" si="17"/>
        <v>589583702</v>
      </c>
      <c r="AD295" s="66">
        <f t="shared" si="17"/>
        <v>0</v>
      </c>
    </row>
    <row r="296" spans="23:30" ht="15.75" customHeight="1" x14ac:dyDescent="0.25">
      <c r="W296" s="65" t="s">
        <v>460</v>
      </c>
      <c r="X296" s="47">
        <v>2022</v>
      </c>
      <c r="Y296" s="61">
        <v>792562</v>
      </c>
      <c r="Z296" s="62">
        <v>369</v>
      </c>
      <c r="AA296" s="61">
        <v>1041</v>
      </c>
      <c r="AB296" s="61"/>
      <c r="AC296" s="61">
        <f t="shared" si="17"/>
        <v>825057042</v>
      </c>
      <c r="AD296" s="66">
        <f t="shared" si="17"/>
        <v>0</v>
      </c>
    </row>
    <row r="297" spans="23:30" ht="15.75" customHeight="1" x14ac:dyDescent="0.25">
      <c r="W297" s="65" t="s">
        <v>460</v>
      </c>
      <c r="X297" s="47">
        <v>2023</v>
      </c>
      <c r="Y297" s="61">
        <v>758254</v>
      </c>
      <c r="Z297" s="62">
        <v>336</v>
      </c>
      <c r="AA297" s="61">
        <v>601</v>
      </c>
      <c r="AB297" s="61"/>
      <c r="AC297" s="61">
        <f t="shared" si="17"/>
        <v>455710654</v>
      </c>
      <c r="AD297" s="66">
        <f t="shared" si="17"/>
        <v>0</v>
      </c>
    </row>
    <row r="298" spans="23:30" ht="15.75" customHeight="1" x14ac:dyDescent="0.25">
      <c r="W298" s="65" t="s">
        <v>460</v>
      </c>
      <c r="X298" s="47">
        <v>2024</v>
      </c>
      <c r="Y298" s="61">
        <v>768343</v>
      </c>
      <c r="Z298" s="62">
        <v>8</v>
      </c>
      <c r="AA298" s="61">
        <v>625</v>
      </c>
      <c r="AB298" s="61"/>
      <c r="AC298" s="61">
        <f t="shared" si="17"/>
        <v>480214375</v>
      </c>
      <c r="AD298" s="66">
        <f t="shared" si="17"/>
        <v>0</v>
      </c>
    </row>
    <row r="299" spans="23:30" ht="15.75" customHeight="1" x14ac:dyDescent="0.25">
      <c r="W299" s="65" t="s">
        <v>461</v>
      </c>
      <c r="X299" s="47">
        <v>2021</v>
      </c>
      <c r="Y299" s="61">
        <v>2165</v>
      </c>
      <c r="Z299" s="62"/>
      <c r="AA299" s="61">
        <v>1355</v>
      </c>
      <c r="AB299" s="61"/>
      <c r="AC299" s="61">
        <f t="shared" si="17"/>
        <v>2933575</v>
      </c>
      <c r="AD299" s="66">
        <f t="shared" si="17"/>
        <v>0</v>
      </c>
    </row>
    <row r="300" spans="23:30" ht="15.75" customHeight="1" x14ac:dyDescent="0.25">
      <c r="W300" s="65" t="s">
        <v>461</v>
      </c>
      <c r="X300" s="47">
        <v>2022</v>
      </c>
      <c r="Y300" s="61">
        <v>2617</v>
      </c>
      <c r="Z300" s="62"/>
      <c r="AA300" s="61">
        <v>1903</v>
      </c>
      <c r="AB300" s="61"/>
      <c r="AC300" s="61">
        <f t="shared" si="17"/>
        <v>4980151</v>
      </c>
      <c r="AD300" s="66">
        <f t="shared" si="17"/>
        <v>0</v>
      </c>
    </row>
    <row r="301" spans="23:30" ht="15.75" customHeight="1" x14ac:dyDescent="0.25">
      <c r="W301" s="65" t="s">
        <v>461</v>
      </c>
      <c r="X301" s="47">
        <v>2023</v>
      </c>
      <c r="Y301" s="61">
        <v>2713</v>
      </c>
      <c r="Z301" s="62"/>
      <c r="AA301" s="61">
        <v>1990</v>
      </c>
      <c r="AB301" s="61"/>
      <c r="AC301" s="61">
        <f t="shared" si="17"/>
        <v>5398870</v>
      </c>
      <c r="AD301" s="66">
        <f t="shared" si="17"/>
        <v>0</v>
      </c>
    </row>
    <row r="302" spans="23:30" ht="15.75" customHeight="1" x14ac:dyDescent="0.25">
      <c r="W302" s="65" t="s">
        <v>461</v>
      </c>
      <c r="X302" s="47">
        <v>2024</v>
      </c>
      <c r="Y302" s="61">
        <v>1788</v>
      </c>
      <c r="Z302" s="62">
        <v>3</v>
      </c>
      <c r="AA302" s="61">
        <v>1893</v>
      </c>
      <c r="AB302" s="61"/>
      <c r="AC302" s="61">
        <f t="shared" si="17"/>
        <v>3384684</v>
      </c>
      <c r="AD302" s="66">
        <f t="shared" si="17"/>
        <v>0</v>
      </c>
    </row>
    <row r="303" spans="23:30" ht="15.75" customHeight="1" x14ac:dyDescent="0.25">
      <c r="W303" s="65" t="s">
        <v>191</v>
      </c>
      <c r="X303" s="47">
        <v>2021</v>
      </c>
      <c r="Y303" s="61">
        <v>39</v>
      </c>
      <c r="Z303" s="62"/>
      <c r="AA303" s="61"/>
      <c r="AB303" s="61"/>
      <c r="AC303" s="61">
        <f t="shared" si="17"/>
        <v>0</v>
      </c>
      <c r="AD303" s="66">
        <f t="shared" si="17"/>
        <v>0</v>
      </c>
    </row>
    <row r="304" spans="23:30" ht="15.75" customHeight="1" x14ac:dyDescent="0.25">
      <c r="W304" s="65" t="s">
        <v>191</v>
      </c>
      <c r="X304" s="47">
        <v>2022</v>
      </c>
      <c r="Y304" s="61">
        <v>22</v>
      </c>
      <c r="Z304" s="62"/>
      <c r="AA304" s="61"/>
      <c r="AB304" s="61"/>
      <c r="AC304" s="61">
        <f t="shared" si="17"/>
        <v>0</v>
      </c>
      <c r="AD304" s="66">
        <f t="shared" si="17"/>
        <v>0</v>
      </c>
    </row>
    <row r="305" spans="23:30" ht="15.75" customHeight="1" x14ac:dyDescent="0.25">
      <c r="W305" s="65" t="s">
        <v>191</v>
      </c>
      <c r="X305" s="47">
        <v>2023</v>
      </c>
      <c r="Y305" s="61">
        <v>34</v>
      </c>
      <c r="Z305" s="62">
        <v>8</v>
      </c>
      <c r="AA305" s="61"/>
      <c r="AB305" s="61"/>
      <c r="AC305" s="61">
        <f t="shared" si="17"/>
        <v>0</v>
      </c>
      <c r="AD305" s="66">
        <f t="shared" si="17"/>
        <v>0</v>
      </c>
    </row>
    <row r="306" spans="23:30" ht="15.75" customHeight="1" x14ac:dyDescent="0.25">
      <c r="W306" s="65" t="s">
        <v>191</v>
      </c>
      <c r="X306" s="47">
        <v>2024</v>
      </c>
      <c r="Y306" s="61">
        <v>40</v>
      </c>
      <c r="Z306" s="62"/>
      <c r="AA306" s="61"/>
      <c r="AB306" s="61"/>
      <c r="AC306" s="61">
        <f t="shared" si="17"/>
        <v>0</v>
      </c>
      <c r="AD306" s="66">
        <f t="shared" si="17"/>
        <v>0</v>
      </c>
    </row>
    <row r="307" spans="23:30" ht="15.75" customHeight="1" x14ac:dyDescent="0.25">
      <c r="W307" s="65" t="s">
        <v>151</v>
      </c>
      <c r="X307" s="47">
        <v>2021</v>
      </c>
      <c r="Y307" s="61">
        <v>181</v>
      </c>
      <c r="Z307" s="62"/>
      <c r="AA307" s="61">
        <v>1834</v>
      </c>
      <c r="AB307" s="61"/>
      <c r="AC307" s="61">
        <f t="shared" si="17"/>
        <v>331954</v>
      </c>
      <c r="AD307" s="66">
        <f t="shared" si="17"/>
        <v>0</v>
      </c>
    </row>
    <row r="308" spans="23:30" ht="15.75" customHeight="1" x14ac:dyDescent="0.25">
      <c r="W308" s="65" t="s">
        <v>151</v>
      </c>
      <c r="X308" s="47">
        <v>2022</v>
      </c>
      <c r="Y308" s="61">
        <v>49</v>
      </c>
      <c r="Z308" s="62">
        <v>1</v>
      </c>
      <c r="AA308" s="61">
        <v>3168</v>
      </c>
      <c r="AB308" s="61"/>
      <c r="AC308" s="61">
        <f t="shared" si="17"/>
        <v>155232</v>
      </c>
      <c r="AD308" s="66">
        <f t="shared" si="17"/>
        <v>0</v>
      </c>
    </row>
    <row r="309" spans="23:30" ht="15.75" customHeight="1" x14ac:dyDescent="0.25">
      <c r="W309" s="65" t="s">
        <v>151</v>
      </c>
      <c r="X309" s="47">
        <v>2023</v>
      </c>
      <c r="Y309" s="61">
        <v>84</v>
      </c>
      <c r="Z309" s="62">
        <v>1</v>
      </c>
      <c r="AA309" s="61">
        <v>1967</v>
      </c>
      <c r="AB309" s="61"/>
      <c r="AC309" s="61">
        <f t="shared" si="17"/>
        <v>165228</v>
      </c>
      <c r="AD309" s="66">
        <f t="shared" si="17"/>
        <v>0</v>
      </c>
    </row>
    <row r="310" spans="23:30" ht="15.75" customHeight="1" x14ac:dyDescent="0.25">
      <c r="W310" s="65" t="s">
        <v>151</v>
      </c>
      <c r="X310" s="47">
        <v>2024</v>
      </c>
      <c r="Y310" s="61">
        <v>104</v>
      </c>
      <c r="Z310" s="62"/>
      <c r="AA310" s="61">
        <v>2036</v>
      </c>
      <c r="AB310" s="61"/>
      <c r="AC310" s="61">
        <f t="shared" si="17"/>
        <v>211744</v>
      </c>
      <c r="AD310" s="66">
        <f t="shared" si="17"/>
        <v>0</v>
      </c>
    </row>
    <row r="311" spans="23:30" ht="15.75" customHeight="1" x14ac:dyDescent="0.25">
      <c r="W311" s="65" t="s">
        <v>462</v>
      </c>
      <c r="X311" s="47">
        <v>2021</v>
      </c>
      <c r="Y311" s="61">
        <v>10089</v>
      </c>
      <c r="Z311" s="62"/>
      <c r="AA311" s="61">
        <v>1524</v>
      </c>
      <c r="AB311" s="61"/>
      <c r="AC311" s="61">
        <f t="shared" si="17"/>
        <v>15375636</v>
      </c>
      <c r="AD311" s="66">
        <f t="shared" si="17"/>
        <v>0</v>
      </c>
    </row>
    <row r="312" spans="23:30" ht="15.75" customHeight="1" x14ac:dyDescent="0.25">
      <c r="W312" s="65" t="s">
        <v>462</v>
      </c>
      <c r="X312" s="47">
        <v>2022</v>
      </c>
      <c r="Y312" s="61">
        <v>13379</v>
      </c>
      <c r="Z312" s="62"/>
      <c r="AA312" s="61">
        <v>1852</v>
      </c>
      <c r="AB312" s="61"/>
      <c r="AC312" s="61">
        <f t="shared" si="17"/>
        <v>24777908</v>
      </c>
      <c r="AD312" s="66">
        <f t="shared" si="17"/>
        <v>0</v>
      </c>
    </row>
    <row r="313" spans="23:30" ht="15.75" customHeight="1" x14ac:dyDescent="0.25">
      <c r="W313" s="65" t="s">
        <v>462</v>
      </c>
      <c r="X313" s="47">
        <v>2023</v>
      </c>
      <c r="Y313" s="61">
        <v>12816</v>
      </c>
      <c r="Z313" s="62"/>
      <c r="AA313" s="61">
        <v>1780</v>
      </c>
      <c r="AB313" s="61"/>
      <c r="AC313" s="61">
        <f t="shared" si="17"/>
        <v>22812480</v>
      </c>
      <c r="AD313" s="66">
        <f t="shared" si="17"/>
        <v>0</v>
      </c>
    </row>
    <row r="314" spans="23:30" ht="15.75" customHeight="1" x14ac:dyDescent="0.25">
      <c r="W314" s="65" t="s">
        <v>462</v>
      </c>
      <c r="X314" s="47">
        <v>2024</v>
      </c>
      <c r="Y314" s="61">
        <v>14168</v>
      </c>
      <c r="Z314" s="62"/>
      <c r="AA314" s="61">
        <v>1759</v>
      </c>
      <c r="AB314" s="61"/>
      <c r="AC314" s="61">
        <f t="shared" si="17"/>
        <v>24921512</v>
      </c>
      <c r="AD314" s="66">
        <f t="shared" si="17"/>
        <v>0</v>
      </c>
    </row>
    <row r="315" spans="23:30" ht="15.75" customHeight="1" x14ac:dyDescent="0.25">
      <c r="W315" s="65" t="s">
        <v>463</v>
      </c>
      <c r="X315" s="47">
        <v>2021</v>
      </c>
      <c r="Y315" s="61">
        <v>82</v>
      </c>
      <c r="Z315" s="62">
        <v>1</v>
      </c>
      <c r="AA315" s="61">
        <v>2271</v>
      </c>
      <c r="AB315" s="61"/>
      <c r="AC315" s="61">
        <f t="shared" si="17"/>
        <v>186222</v>
      </c>
      <c r="AD315" s="66">
        <f t="shared" si="17"/>
        <v>0</v>
      </c>
    </row>
    <row r="316" spans="23:30" ht="15.75" customHeight="1" x14ac:dyDescent="0.25">
      <c r="W316" s="65" t="s">
        <v>463</v>
      </c>
      <c r="X316" s="47">
        <v>2022</v>
      </c>
      <c r="Y316" s="61">
        <v>47</v>
      </c>
      <c r="Z316" s="62"/>
      <c r="AA316" s="61">
        <v>2785</v>
      </c>
      <c r="AB316" s="61"/>
      <c r="AC316" s="61">
        <f t="shared" si="17"/>
        <v>130895</v>
      </c>
      <c r="AD316" s="66">
        <f t="shared" si="17"/>
        <v>0</v>
      </c>
    </row>
    <row r="317" spans="23:30" ht="15.75" customHeight="1" x14ac:dyDescent="0.25">
      <c r="W317" s="65" t="s">
        <v>463</v>
      </c>
      <c r="X317" s="47">
        <v>2023</v>
      </c>
      <c r="Y317" s="61">
        <v>61</v>
      </c>
      <c r="Z317" s="62"/>
      <c r="AA317" s="61">
        <v>2825</v>
      </c>
      <c r="AB317" s="61"/>
      <c r="AC317" s="61">
        <f t="shared" si="17"/>
        <v>172325</v>
      </c>
      <c r="AD317" s="66">
        <f t="shared" si="17"/>
        <v>0</v>
      </c>
    </row>
    <row r="318" spans="23:30" ht="15.75" customHeight="1" x14ac:dyDescent="0.25">
      <c r="W318" s="65" t="s">
        <v>463</v>
      </c>
      <c r="X318" s="47">
        <v>2024</v>
      </c>
      <c r="Y318" s="61">
        <v>60</v>
      </c>
      <c r="Z318" s="62"/>
      <c r="AA318" s="61">
        <v>3273</v>
      </c>
      <c r="AB318" s="61"/>
      <c r="AC318" s="61">
        <f t="shared" si="17"/>
        <v>196380</v>
      </c>
      <c r="AD318" s="66">
        <f t="shared" si="17"/>
        <v>0</v>
      </c>
    </row>
    <row r="319" spans="23:30" ht="15.75" customHeight="1" x14ac:dyDescent="0.25">
      <c r="W319" s="65" t="s">
        <v>194</v>
      </c>
      <c r="X319" s="47">
        <v>2021</v>
      </c>
      <c r="Y319" s="61">
        <v>5460</v>
      </c>
      <c r="Z319" s="61">
        <v>2</v>
      </c>
      <c r="AA319" s="61">
        <v>1571</v>
      </c>
      <c r="AB319" s="61"/>
      <c r="AC319" s="61">
        <f t="shared" si="17"/>
        <v>8577660</v>
      </c>
      <c r="AD319" s="66">
        <f t="shared" si="17"/>
        <v>0</v>
      </c>
    </row>
    <row r="320" spans="23:30" ht="15.75" customHeight="1" x14ac:dyDescent="0.25">
      <c r="W320" s="65" t="s">
        <v>194</v>
      </c>
      <c r="X320" s="47">
        <v>2022</v>
      </c>
      <c r="Y320" s="61">
        <v>4693</v>
      </c>
      <c r="Z320" s="61">
        <v>5</v>
      </c>
      <c r="AA320" s="61">
        <v>1649</v>
      </c>
      <c r="AB320" s="61"/>
      <c r="AC320" s="61">
        <f t="shared" ref="AC320:AD383" si="18">Y320*AA320</f>
        <v>7738757</v>
      </c>
      <c r="AD320" s="66">
        <f t="shared" si="18"/>
        <v>0</v>
      </c>
    </row>
    <row r="321" spans="23:30" ht="15.75" customHeight="1" x14ac:dyDescent="0.25">
      <c r="W321" s="65" t="s">
        <v>194</v>
      </c>
      <c r="X321" s="47">
        <v>2023</v>
      </c>
      <c r="Y321" s="61">
        <v>3116</v>
      </c>
      <c r="Z321" s="61">
        <v>5</v>
      </c>
      <c r="AA321" s="61">
        <v>1354</v>
      </c>
      <c r="AB321" s="61"/>
      <c r="AC321" s="61">
        <f t="shared" si="18"/>
        <v>4219064</v>
      </c>
      <c r="AD321" s="66">
        <f t="shared" si="18"/>
        <v>0</v>
      </c>
    </row>
    <row r="322" spans="23:30" ht="15.75" customHeight="1" x14ac:dyDescent="0.25">
      <c r="W322" s="65" t="s">
        <v>194</v>
      </c>
      <c r="X322" s="47">
        <v>2024</v>
      </c>
      <c r="Y322" s="61">
        <v>3528</v>
      </c>
      <c r="Z322" s="61">
        <v>1</v>
      </c>
      <c r="AA322" s="61">
        <v>1575</v>
      </c>
      <c r="AB322" s="61"/>
      <c r="AC322" s="61">
        <f t="shared" si="18"/>
        <v>5556600</v>
      </c>
      <c r="AD322" s="66">
        <f t="shared" si="18"/>
        <v>0</v>
      </c>
    </row>
    <row r="323" spans="23:30" ht="15.75" customHeight="1" x14ac:dyDescent="0.25">
      <c r="W323" s="65" t="s">
        <v>197</v>
      </c>
      <c r="X323" s="47">
        <v>2021</v>
      </c>
      <c r="Y323" s="61">
        <v>3122</v>
      </c>
      <c r="Z323" s="61"/>
      <c r="AA323" s="61">
        <v>1895</v>
      </c>
      <c r="AB323" s="61"/>
      <c r="AC323" s="61">
        <f t="shared" si="18"/>
        <v>5916190</v>
      </c>
      <c r="AD323" s="66">
        <f t="shared" si="18"/>
        <v>0</v>
      </c>
    </row>
    <row r="324" spans="23:30" ht="15.75" customHeight="1" x14ac:dyDescent="0.25">
      <c r="W324" s="65" t="s">
        <v>197</v>
      </c>
      <c r="X324" s="47">
        <v>2022</v>
      </c>
      <c r="Y324" s="61">
        <v>4672</v>
      </c>
      <c r="Z324" s="61"/>
      <c r="AA324" s="61">
        <v>2992</v>
      </c>
      <c r="AB324" s="61"/>
      <c r="AC324" s="61">
        <f t="shared" si="18"/>
        <v>13978624</v>
      </c>
      <c r="AD324" s="66">
        <f t="shared" si="18"/>
        <v>0</v>
      </c>
    </row>
    <row r="325" spans="23:30" ht="15.75" customHeight="1" x14ac:dyDescent="0.25">
      <c r="W325" s="65" t="s">
        <v>197</v>
      </c>
      <c r="X325" s="47">
        <v>2023</v>
      </c>
      <c r="Y325" s="61">
        <v>3509</v>
      </c>
      <c r="Z325" s="61"/>
      <c r="AA325" s="61">
        <v>1380</v>
      </c>
      <c r="AB325" s="61"/>
      <c r="AC325" s="61">
        <f t="shared" si="18"/>
        <v>4842420</v>
      </c>
      <c r="AD325" s="66">
        <f t="shared" si="18"/>
        <v>0</v>
      </c>
    </row>
    <row r="326" spans="23:30" ht="15.75" customHeight="1" x14ac:dyDescent="0.25">
      <c r="W326" s="65" t="s">
        <v>197</v>
      </c>
      <c r="X326" s="47">
        <v>2024</v>
      </c>
      <c r="Y326" s="61">
        <v>3250</v>
      </c>
      <c r="Z326" s="61"/>
      <c r="AA326" s="61">
        <v>1255</v>
      </c>
      <c r="AB326" s="61"/>
      <c r="AC326" s="61">
        <f t="shared" si="18"/>
        <v>4078750</v>
      </c>
      <c r="AD326" s="66">
        <f t="shared" si="18"/>
        <v>0</v>
      </c>
    </row>
    <row r="327" spans="23:30" ht="15.75" customHeight="1" x14ac:dyDescent="0.25">
      <c r="W327" s="65" t="s">
        <v>464</v>
      </c>
      <c r="X327" s="47">
        <v>2021</v>
      </c>
      <c r="Y327" s="61">
        <v>2241</v>
      </c>
      <c r="Z327" s="61"/>
      <c r="AA327" s="61">
        <v>2696</v>
      </c>
      <c r="AB327" s="61"/>
      <c r="AC327" s="61">
        <f t="shared" si="18"/>
        <v>6041736</v>
      </c>
      <c r="AD327" s="66">
        <f t="shared" si="18"/>
        <v>0</v>
      </c>
    </row>
    <row r="328" spans="23:30" ht="15.75" customHeight="1" x14ac:dyDescent="0.25">
      <c r="W328" s="65" t="s">
        <v>464</v>
      </c>
      <c r="X328" s="47">
        <v>2022</v>
      </c>
      <c r="Y328" s="61">
        <v>1915</v>
      </c>
      <c r="Z328" s="61">
        <v>3</v>
      </c>
      <c r="AA328" s="61">
        <v>2702</v>
      </c>
      <c r="AB328" s="61"/>
      <c r="AC328" s="61">
        <f t="shared" si="18"/>
        <v>5174330</v>
      </c>
      <c r="AD328" s="66">
        <f t="shared" si="18"/>
        <v>0</v>
      </c>
    </row>
    <row r="329" spans="23:30" ht="15.75" customHeight="1" x14ac:dyDescent="0.25">
      <c r="W329" s="65" t="s">
        <v>464</v>
      </c>
      <c r="X329" s="47">
        <v>2023</v>
      </c>
      <c r="Y329" s="61">
        <v>2168</v>
      </c>
      <c r="Z329" s="61"/>
      <c r="AA329" s="61">
        <v>2169</v>
      </c>
      <c r="AB329" s="61"/>
      <c r="AC329" s="61">
        <f t="shared" si="18"/>
        <v>4702392</v>
      </c>
      <c r="AD329" s="66">
        <f t="shared" si="18"/>
        <v>0</v>
      </c>
    </row>
    <row r="330" spans="23:30" ht="15.75" customHeight="1" x14ac:dyDescent="0.25">
      <c r="W330" s="65" t="s">
        <v>464</v>
      </c>
      <c r="X330" s="47">
        <v>2024</v>
      </c>
      <c r="Y330" s="61">
        <v>1196</v>
      </c>
      <c r="Z330" s="61">
        <v>14</v>
      </c>
      <c r="AA330" s="61">
        <v>2576</v>
      </c>
      <c r="AB330" s="61"/>
      <c r="AC330" s="61">
        <f t="shared" si="18"/>
        <v>3080896</v>
      </c>
      <c r="AD330" s="66">
        <f t="shared" si="18"/>
        <v>0</v>
      </c>
    </row>
    <row r="331" spans="23:30" ht="15.75" customHeight="1" x14ac:dyDescent="0.25">
      <c r="W331" s="65" t="s">
        <v>110</v>
      </c>
      <c r="X331" s="47">
        <v>2021</v>
      </c>
      <c r="Y331" s="61">
        <v>5096</v>
      </c>
      <c r="Z331" s="61">
        <v>97121</v>
      </c>
      <c r="AA331" s="61">
        <v>555</v>
      </c>
      <c r="AB331" s="61">
        <v>352</v>
      </c>
      <c r="AC331" s="61">
        <f t="shared" si="18"/>
        <v>2828280</v>
      </c>
      <c r="AD331" s="66">
        <f t="shared" si="18"/>
        <v>34186592</v>
      </c>
    </row>
    <row r="332" spans="23:30" ht="15.75" customHeight="1" x14ac:dyDescent="0.25">
      <c r="W332" s="65" t="s">
        <v>110</v>
      </c>
      <c r="X332" s="47">
        <v>2022</v>
      </c>
      <c r="Y332" s="61">
        <v>15122</v>
      </c>
      <c r="Z332" s="61">
        <v>20728</v>
      </c>
      <c r="AA332" s="61">
        <v>447</v>
      </c>
      <c r="AB332" s="61">
        <v>439</v>
      </c>
      <c r="AC332" s="61">
        <f t="shared" si="18"/>
        <v>6759534</v>
      </c>
      <c r="AD332" s="66">
        <f t="shared" si="18"/>
        <v>9099592</v>
      </c>
    </row>
    <row r="333" spans="23:30" ht="15.75" customHeight="1" x14ac:dyDescent="0.25">
      <c r="W333" s="65" t="s">
        <v>110</v>
      </c>
      <c r="X333" s="47">
        <v>2023</v>
      </c>
      <c r="Y333" s="61">
        <v>92</v>
      </c>
      <c r="Z333" s="61">
        <v>167573</v>
      </c>
      <c r="AA333" s="61"/>
      <c r="AB333" s="61">
        <v>290</v>
      </c>
      <c r="AC333" s="61">
        <f t="shared" si="18"/>
        <v>0</v>
      </c>
      <c r="AD333" s="66">
        <f t="shared" si="18"/>
        <v>48596170</v>
      </c>
    </row>
    <row r="334" spans="23:30" ht="15.75" customHeight="1" x14ac:dyDescent="0.25">
      <c r="W334" s="65" t="s">
        <v>110</v>
      </c>
      <c r="X334" s="47">
        <v>2024</v>
      </c>
      <c r="Y334" s="61">
        <v>1012</v>
      </c>
      <c r="Z334" s="61">
        <v>190633</v>
      </c>
      <c r="AA334" s="61">
        <v>835</v>
      </c>
      <c r="AB334" s="61">
        <v>313</v>
      </c>
      <c r="AC334" s="61">
        <f t="shared" si="18"/>
        <v>845020</v>
      </c>
      <c r="AD334" s="66">
        <f t="shared" si="18"/>
        <v>59668129</v>
      </c>
    </row>
    <row r="335" spans="23:30" ht="15.75" customHeight="1" x14ac:dyDescent="0.25">
      <c r="W335" s="65" t="s">
        <v>465</v>
      </c>
      <c r="X335" s="47">
        <v>2021</v>
      </c>
      <c r="Y335" s="61">
        <v>2221</v>
      </c>
      <c r="Z335" s="63"/>
      <c r="AA335" s="61">
        <v>987</v>
      </c>
      <c r="AB335" s="64"/>
      <c r="AC335" s="61">
        <f t="shared" si="18"/>
        <v>2192127</v>
      </c>
      <c r="AD335" s="66">
        <f t="shared" si="18"/>
        <v>0</v>
      </c>
    </row>
    <row r="336" spans="23:30" ht="15.75" customHeight="1" x14ac:dyDescent="0.25">
      <c r="W336" s="65" t="s">
        <v>465</v>
      </c>
      <c r="X336" s="47">
        <v>2022</v>
      </c>
      <c r="Y336" s="61">
        <v>597</v>
      </c>
      <c r="Z336" s="63"/>
      <c r="AA336" s="61">
        <v>1282</v>
      </c>
      <c r="AB336" s="64"/>
      <c r="AC336" s="61">
        <f t="shared" si="18"/>
        <v>765354</v>
      </c>
      <c r="AD336" s="66">
        <f t="shared" si="18"/>
        <v>0</v>
      </c>
    </row>
    <row r="337" spans="23:30" ht="15.75" customHeight="1" x14ac:dyDescent="0.25">
      <c r="W337" s="65" t="s">
        <v>465</v>
      </c>
      <c r="X337" s="47">
        <v>2023</v>
      </c>
      <c r="Y337" s="61"/>
      <c r="Z337" s="63"/>
      <c r="AA337" s="61"/>
      <c r="AB337" s="64"/>
      <c r="AC337" s="61">
        <f t="shared" si="18"/>
        <v>0</v>
      </c>
      <c r="AD337" s="66">
        <f t="shared" si="18"/>
        <v>0</v>
      </c>
    </row>
    <row r="338" spans="23:30" ht="15.75" customHeight="1" x14ac:dyDescent="0.25">
      <c r="W338" s="65" t="s">
        <v>465</v>
      </c>
      <c r="X338" s="47">
        <v>2024</v>
      </c>
      <c r="Y338" s="61"/>
      <c r="Z338" s="63"/>
      <c r="AA338" s="61"/>
      <c r="AB338" s="64"/>
      <c r="AC338" s="61">
        <f t="shared" si="18"/>
        <v>0</v>
      </c>
      <c r="AD338" s="66">
        <f t="shared" si="18"/>
        <v>0</v>
      </c>
    </row>
    <row r="339" spans="23:30" ht="15.75" customHeight="1" x14ac:dyDescent="0.25">
      <c r="W339" s="65" t="s">
        <v>466</v>
      </c>
      <c r="X339" s="47">
        <v>2021</v>
      </c>
      <c r="Y339" s="61">
        <v>2145</v>
      </c>
      <c r="Z339" s="61">
        <v>8</v>
      </c>
      <c r="AA339" s="61">
        <v>1659</v>
      </c>
      <c r="AB339" s="61"/>
      <c r="AC339" s="61">
        <f t="shared" si="18"/>
        <v>3558555</v>
      </c>
      <c r="AD339" s="66">
        <f t="shared" si="18"/>
        <v>0</v>
      </c>
    </row>
    <row r="340" spans="23:30" ht="15.75" customHeight="1" x14ac:dyDescent="0.25">
      <c r="W340" s="65" t="s">
        <v>466</v>
      </c>
      <c r="X340" s="47">
        <v>2022</v>
      </c>
      <c r="Y340" s="61">
        <v>2057</v>
      </c>
      <c r="Z340" s="61"/>
      <c r="AA340" s="61">
        <v>2313</v>
      </c>
      <c r="AB340" s="61"/>
      <c r="AC340" s="61">
        <f t="shared" si="18"/>
        <v>4757841</v>
      </c>
      <c r="AD340" s="66">
        <f t="shared" si="18"/>
        <v>0</v>
      </c>
    </row>
    <row r="341" spans="23:30" ht="15.75" customHeight="1" x14ac:dyDescent="0.25">
      <c r="W341" s="65" t="s">
        <v>466</v>
      </c>
      <c r="X341" s="47">
        <v>2023</v>
      </c>
      <c r="Y341" s="61">
        <v>2483</v>
      </c>
      <c r="Z341" s="61"/>
      <c r="AA341" s="61">
        <v>1888</v>
      </c>
      <c r="AB341" s="61"/>
      <c r="AC341" s="61">
        <f t="shared" si="18"/>
        <v>4687904</v>
      </c>
      <c r="AD341" s="66">
        <f t="shared" si="18"/>
        <v>0</v>
      </c>
    </row>
    <row r="342" spans="23:30" ht="15.75" customHeight="1" x14ac:dyDescent="0.25">
      <c r="W342" s="65" t="s">
        <v>466</v>
      </c>
      <c r="X342" s="47">
        <v>2024</v>
      </c>
      <c r="Y342" s="61">
        <v>1735</v>
      </c>
      <c r="Z342" s="61"/>
      <c r="AA342" s="61">
        <v>2002</v>
      </c>
      <c r="AB342" s="61"/>
      <c r="AC342" s="61">
        <f t="shared" si="18"/>
        <v>3473470</v>
      </c>
      <c r="AD342" s="66">
        <f t="shared" si="18"/>
        <v>0</v>
      </c>
    </row>
    <row r="343" spans="23:30" ht="15.75" customHeight="1" x14ac:dyDescent="0.25">
      <c r="W343" s="65" t="s">
        <v>467</v>
      </c>
      <c r="X343" s="47">
        <v>2021</v>
      </c>
      <c r="Y343" s="61">
        <v>29</v>
      </c>
      <c r="Z343" s="61">
        <v>14</v>
      </c>
      <c r="AA343" s="61"/>
      <c r="AB343" s="61"/>
      <c r="AC343" s="61">
        <f t="shared" si="18"/>
        <v>0</v>
      </c>
      <c r="AD343" s="66">
        <f t="shared" si="18"/>
        <v>0</v>
      </c>
    </row>
    <row r="344" spans="23:30" ht="15.75" customHeight="1" x14ac:dyDescent="0.25">
      <c r="W344" s="65" t="s">
        <v>467</v>
      </c>
      <c r="X344" s="47">
        <v>2022</v>
      </c>
      <c r="Y344" s="61">
        <v>43</v>
      </c>
      <c r="Z344" s="61"/>
      <c r="AA344" s="61"/>
      <c r="AB344" s="61"/>
      <c r="AC344" s="61">
        <f t="shared" si="18"/>
        <v>0</v>
      </c>
      <c r="AD344" s="66">
        <f t="shared" si="18"/>
        <v>0</v>
      </c>
    </row>
    <row r="345" spans="23:30" ht="15.75" customHeight="1" x14ac:dyDescent="0.25">
      <c r="W345" s="65" t="s">
        <v>467</v>
      </c>
      <c r="X345" s="47">
        <v>2023</v>
      </c>
      <c r="Y345" s="61">
        <v>14</v>
      </c>
      <c r="Z345" s="61"/>
      <c r="AA345" s="61"/>
      <c r="AB345" s="61"/>
      <c r="AC345" s="61">
        <f t="shared" si="18"/>
        <v>0</v>
      </c>
      <c r="AD345" s="66">
        <f t="shared" si="18"/>
        <v>0</v>
      </c>
    </row>
    <row r="346" spans="23:30" ht="15.75" customHeight="1" x14ac:dyDescent="0.25">
      <c r="W346" s="65" t="s">
        <v>467</v>
      </c>
      <c r="X346" s="47">
        <v>2024</v>
      </c>
      <c r="Y346" s="61">
        <v>20</v>
      </c>
      <c r="Z346" s="61"/>
      <c r="AA346" s="61"/>
      <c r="AB346" s="61"/>
      <c r="AC346" s="61">
        <f t="shared" si="18"/>
        <v>0</v>
      </c>
      <c r="AD346" s="66">
        <f t="shared" si="18"/>
        <v>0</v>
      </c>
    </row>
    <row r="347" spans="23:30" ht="15.75" customHeight="1" x14ac:dyDescent="0.25">
      <c r="W347" s="65" t="s">
        <v>468</v>
      </c>
      <c r="X347" s="47">
        <v>2021</v>
      </c>
      <c r="Y347" s="61">
        <v>237</v>
      </c>
      <c r="Z347" s="61">
        <v>1</v>
      </c>
      <c r="AA347" s="61">
        <v>2414</v>
      </c>
      <c r="AB347" s="61"/>
      <c r="AC347" s="61">
        <f t="shared" si="18"/>
        <v>572118</v>
      </c>
      <c r="AD347" s="66">
        <f t="shared" si="18"/>
        <v>0</v>
      </c>
    </row>
    <row r="348" spans="23:30" ht="15.75" customHeight="1" x14ac:dyDescent="0.25">
      <c r="W348" s="65" t="s">
        <v>468</v>
      </c>
      <c r="X348" s="47">
        <v>2022</v>
      </c>
      <c r="Y348" s="61">
        <v>303</v>
      </c>
      <c r="Z348" s="61"/>
      <c r="AA348" s="61">
        <v>2384</v>
      </c>
      <c r="AB348" s="61"/>
      <c r="AC348" s="61">
        <f t="shared" si="18"/>
        <v>722352</v>
      </c>
      <c r="AD348" s="66">
        <f t="shared" si="18"/>
        <v>0</v>
      </c>
    </row>
    <row r="349" spans="23:30" ht="15.75" customHeight="1" x14ac:dyDescent="0.25">
      <c r="W349" s="65" t="s">
        <v>468</v>
      </c>
      <c r="X349" s="47">
        <v>2023</v>
      </c>
      <c r="Y349" s="61">
        <v>215</v>
      </c>
      <c r="Z349" s="61"/>
      <c r="AA349" s="61">
        <v>2408</v>
      </c>
      <c r="AB349" s="61"/>
      <c r="AC349" s="61">
        <f t="shared" si="18"/>
        <v>517720</v>
      </c>
      <c r="AD349" s="66">
        <f t="shared" si="18"/>
        <v>0</v>
      </c>
    </row>
    <row r="350" spans="23:30" ht="15.75" customHeight="1" x14ac:dyDescent="0.25">
      <c r="W350" s="65" t="s">
        <v>468</v>
      </c>
      <c r="X350" s="47">
        <v>2024</v>
      </c>
      <c r="Y350" s="61">
        <v>195</v>
      </c>
      <c r="Z350" s="61"/>
      <c r="AA350" s="61">
        <v>2488</v>
      </c>
      <c r="AB350" s="61"/>
      <c r="AC350" s="61">
        <f t="shared" si="18"/>
        <v>485160</v>
      </c>
      <c r="AD350" s="66">
        <f t="shared" si="18"/>
        <v>0</v>
      </c>
    </row>
    <row r="351" spans="23:30" ht="15.75" customHeight="1" x14ac:dyDescent="0.25">
      <c r="W351" s="65" t="s">
        <v>469</v>
      </c>
      <c r="X351" s="47">
        <v>2021</v>
      </c>
      <c r="Y351" s="61">
        <v>13564</v>
      </c>
      <c r="Z351" s="61">
        <v>399</v>
      </c>
      <c r="AA351" s="61">
        <v>2380</v>
      </c>
      <c r="AB351" s="61"/>
      <c r="AC351" s="61">
        <f t="shared" si="18"/>
        <v>32282320</v>
      </c>
      <c r="AD351" s="66">
        <f t="shared" si="18"/>
        <v>0</v>
      </c>
    </row>
    <row r="352" spans="23:30" ht="15.75" customHeight="1" x14ac:dyDescent="0.25">
      <c r="W352" s="65" t="s">
        <v>469</v>
      </c>
      <c r="X352" s="47">
        <v>2022</v>
      </c>
      <c r="Y352" s="61">
        <v>16806</v>
      </c>
      <c r="Z352" s="61">
        <v>739</v>
      </c>
      <c r="AA352" s="61">
        <v>2999</v>
      </c>
      <c r="AB352" s="61"/>
      <c r="AC352" s="61">
        <f t="shared" si="18"/>
        <v>50401194</v>
      </c>
      <c r="AD352" s="66">
        <f t="shared" si="18"/>
        <v>0</v>
      </c>
    </row>
    <row r="353" spans="23:30" ht="15.75" customHeight="1" x14ac:dyDescent="0.25">
      <c r="W353" s="65" t="s">
        <v>469</v>
      </c>
      <c r="X353" s="47">
        <v>2023</v>
      </c>
      <c r="Y353" s="61">
        <v>15229</v>
      </c>
      <c r="Z353" s="61"/>
      <c r="AA353" s="61">
        <v>2305</v>
      </c>
      <c r="AB353" s="61"/>
      <c r="AC353" s="61">
        <f t="shared" si="18"/>
        <v>35102845</v>
      </c>
      <c r="AD353" s="66">
        <f t="shared" si="18"/>
        <v>0</v>
      </c>
    </row>
    <row r="354" spans="23:30" ht="15.75" customHeight="1" x14ac:dyDescent="0.25">
      <c r="W354" s="65" t="s">
        <v>469</v>
      </c>
      <c r="X354" s="47">
        <v>2024</v>
      </c>
      <c r="Y354" s="61">
        <v>13789</v>
      </c>
      <c r="Z354" s="61">
        <v>238</v>
      </c>
      <c r="AA354" s="61">
        <v>2722</v>
      </c>
      <c r="AB354" s="61"/>
      <c r="AC354" s="61">
        <f t="shared" si="18"/>
        <v>37533658</v>
      </c>
      <c r="AD354" s="66">
        <f t="shared" si="18"/>
        <v>0</v>
      </c>
    </row>
    <row r="355" spans="23:30" ht="15.75" customHeight="1" x14ac:dyDescent="0.25">
      <c r="W355" s="65" t="s">
        <v>470</v>
      </c>
      <c r="X355" s="47">
        <v>2021</v>
      </c>
      <c r="Y355" s="61">
        <v>2483</v>
      </c>
      <c r="Z355" s="61"/>
      <c r="AA355" s="61">
        <v>1893</v>
      </c>
      <c r="AB355" s="61"/>
      <c r="AC355" s="61">
        <f t="shared" si="18"/>
        <v>4700319</v>
      </c>
      <c r="AD355" s="66">
        <f t="shared" si="18"/>
        <v>0</v>
      </c>
    </row>
    <row r="356" spans="23:30" ht="15.75" customHeight="1" x14ac:dyDescent="0.25">
      <c r="W356" s="65" t="s">
        <v>470</v>
      </c>
      <c r="X356" s="47">
        <v>2022</v>
      </c>
      <c r="Y356" s="61">
        <v>2979</v>
      </c>
      <c r="Z356" s="61"/>
      <c r="AA356" s="61">
        <v>2341</v>
      </c>
      <c r="AB356" s="61"/>
      <c r="AC356" s="61">
        <f t="shared" si="18"/>
        <v>6973839</v>
      </c>
      <c r="AD356" s="66">
        <f t="shared" si="18"/>
        <v>0</v>
      </c>
    </row>
    <row r="357" spans="23:30" ht="15.75" customHeight="1" x14ac:dyDescent="0.25">
      <c r="W357" s="65" t="s">
        <v>470</v>
      </c>
      <c r="X357" s="47">
        <v>2023</v>
      </c>
      <c r="Y357" s="61">
        <v>2063</v>
      </c>
      <c r="Z357" s="61"/>
      <c r="AA357" s="61">
        <v>2188</v>
      </c>
      <c r="AB357" s="61"/>
      <c r="AC357" s="61">
        <f t="shared" si="18"/>
        <v>4513844</v>
      </c>
      <c r="AD357" s="66">
        <f t="shared" si="18"/>
        <v>0</v>
      </c>
    </row>
    <row r="358" spans="23:30" ht="15.75" customHeight="1" x14ac:dyDescent="0.25">
      <c r="W358" s="65" t="s">
        <v>470</v>
      </c>
      <c r="X358" s="47">
        <v>2024</v>
      </c>
      <c r="Y358" s="61">
        <v>1996</v>
      </c>
      <c r="Z358" s="61">
        <v>343</v>
      </c>
      <c r="AA358" s="61">
        <v>2147</v>
      </c>
      <c r="AB358" s="61"/>
      <c r="AC358" s="61">
        <f t="shared" si="18"/>
        <v>4285412</v>
      </c>
      <c r="AD358" s="66">
        <f t="shared" si="18"/>
        <v>0</v>
      </c>
    </row>
    <row r="359" spans="23:30" ht="15.75" customHeight="1" x14ac:dyDescent="0.25">
      <c r="W359" s="65" t="s">
        <v>244</v>
      </c>
      <c r="X359" s="47">
        <v>2021</v>
      </c>
      <c r="Y359" s="61">
        <v>5</v>
      </c>
      <c r="Z359" s="61">
        <v>41700</v>
      </c>
      <c r="AA359" s="61"/>
      <c r="AB359" s="63"/>
      <c r="AC359" s="61">
        <f t="shared" si="18"/>
        <v>0</v>
      </c>
      <c r="AD359" s="66">
        <f t="shared" si="18"/>
        <v>0</v>
      </c>
    </row>
    <row r="360" spans="23:30" ht="15.75" customHeight="1" x14ac:dyDescent="0.25">
      <c r="W360" s="65" t="s">
        <v>244</v>
      </c>
      <c r="X360" s="47">
        <v>2022</v>
      </c>
      <c r="Y360" s="61">
        <v>8</v>
      </c>
      <c r="Z360" s="61">
        <v>15730</v>
      </c>
      <c r="AA360" s="61"/>
      <c r="AB360" s="63"/>
      <c r="AC360" s="61">
        <f t="shared" si="18"/>
        <v>0</v>
      </c>
      <c r="AD360" s="66">
        <f t="shared" si="18"/>
        <v>0</v>
      </c>
    </row>
    <row r="361" spans="23:30" ht="15.75" customHeight="1" x14ac:dyDescent="0.25">
      <c r="W361" s="65" t="s">
        <v>244</v>
      </c>
      <c r="X361" s="47">
        <v>2023</v>
      </c>
      <c r="Y361" s="61">
        <v>9</v>
      </c>
      <c r="Z361" s="61">
        <v>9801</v>
      </c>
      <c r="AA361" s="61"/>
      <c r="AB361" s="63">
        <v>789</v>
      </c>
      <c r="AC361" s="61">
        <f t="shared" si="18"/>
        <v>0</v>
      </c>
      <c r="AD361" s="66">
        <f t="shared" si="18"/>
        <v>7732989</v>
      </c>
    </row>
    <row r="362" spans="23:30" ht="15.75" customHeight="1" x14ac:dyDescent="0.25">
      <c r="W362" s="65" t="s">
        <v>244</v>
      </c>
      <c r="X362" s="47">
        <v>2024</v>
      </c>
      <c r="Y362" s="61">
        <v>5</v>
      </c>
      <c r="Z362" s="61">
        <v>14945</v>
      </c>
      <c r="AA362" s="61"/>
      <c r="AB362" s="63">
        <v>789</v>
      </c>
      <c r="AC362" s="61">
        <f t="shared" si="18"/>
        <v>0</v>
      </c>
      <c r="AD362" s="66">
        <f t="shared" si="18"/>
        <v>11791605</v>
      </c>
    </row>
    <row r="363" spans="23:30" ht="15.75" customHeight="1" x14ac:dyDescent="0.25">
      <c r="W363" s="65" t="s">
        <v>471</v>
      </c>
      <c r="X363" s="47">
        <v>2021</v>
      </c>
      <c r="Y363" s="61">
        <v>192</v>
      </c>
      <c r="Z363" s="61">
        <v>8</v>
      </c>
      <c r="AA363" s="61">
        <v>1513</v>
      </c>
      <c r="AB363" s="61"/>
      <c r="AC363" s="61">
        <f t="shared" si="18"/>
        <v>290496</v>
      </c>
      <c r="AD363" s="66">
        <f t="shared" si="18"/>
        <v>0</v>
      </c>
    </row>
    <row r="364" spans="23:30" ht="15.75" customHeight="1" x14ac:dyDescent="0.25">
      <c r="W364" s="65" t="s">
        <v>471</v>
      </c>
      <c r="X364" s="47">
        <v>2022</v>
      </c>
      <c r="Y364" s="61">
        <v>126</v>
      </c>
      <c r="Z364" s="61">
        <v>5</v>
      </c>
      <c r="AA364" s="61">
        <v>2214</v>
      </c>
      <c r="AB364" s="61"/>
      <c r="AC364" s="61">
        <f t="shared" si="18"/>
        <v>278964</v>
      </c>
      <c r="AD364" s="66">
        <f t="shared" si="18"/>
        <v>0</v>
      </c>
    </row>
    <row r="365" spans="23:30" ht="15.75" customHeight="1" x14ac:dyDescent="0.25">
      <c r="W365" s="65" t="s">
        <v>471</v>
      </c>
      <c r="X365" s="47">
        <v>2023</v>
      </c>
      <c r="Y365" s="61">
        <v>199</v>
      </c>
      <c r="Z365" s="61">
        <v>5</v>
      </c>
      <c r="AA365" s="61">
        <v>1977</v>
      </c>
      <c r="AB365" s="61"/>
      <c r="AC365" s="61">
        <f t="shared" si="18"/>
        <v>393423</v>
      </c>
      <c r="AD365" s="66">
        <f t="shared" si="18"/>
        <v>0</v>
      </c>
    </row>
    <row r="366" spans="23:30" ht="15.75" customHeight="1" x14ac:dyDescent="0.25">
      <c r="W366" s="65" t="s">
        <v>471</v>
      </c>
      <c r="X366" s="47">
        <v>2024</v>
      </c>
      <c r="Y366" s="61">
        <v>254</v>
      </c>
      <c r="Z366" s="61">
        <v>8</v>
      </c>
      <c r="AA366" s="61">
        <v>1713</v>
      </c>
      <c r="AB366" s="61"/>
      <c r="AC366" s="61">
        <f t="shared" si="18"/>
        <v>435102</v>
      </c>
      <c r="AD366" s="66">
        <f t="shared" si="18"/>
        <v>0</v>
      </c>
    </row>
    <row r="367" spans="23:30" ht="15.75" customHeight="1" x14ac:dyDescent="0.25">
      <c r="W367" s="65" t="s">
        <v>472</v>
      </c>
      <c r="X367" s="47">
        <v>2021</v>
      </c>
      <c r="Y367" s="61">
        <v>6588</v>
      </c>
      <c r="Z367" s="61">
        <v>40164</v>
      </c>
      <c r="AA367" s="61">
        <v>1434</v>
      </c>
      <c r="AB367" s="61">
        <v>1137</v>
      </c>
      <c r="AC367" s="61">
        <f t="shared" si="18"/>
        <v>9447192</v>
      </c>
      <c r="AD367" s="66">
        <f t="shared" si="18"/>
        <v>45666468</v>
      </c>
    </row>
    <row r="368" spans="23:30" ht="15.75" customHeight="1" x14ac:dyDescent="0.25">
      <c r="W368" s="65" t="s">
        <v>472</v>
      </c>
      <c r="X368" s="47">
        <v>2022</v>
      </c>
      <c r="Y368" s="61">
        <v>4891</v>
      </c>
      <c r="Z368" s="61">
        <v>42171</v>
      </c>
      <c r="AA368" s="61">
        <v>1684</v>
      </c>
      <c r="AB368" s="61">
        <v>1694</v>
      </c>
      <c r="AC368" s="61">
        <f t="shared" si="18"/>
        <v>8236444</v>
      </c>
      <c r="AD368" s="66">
        <f t="shared" si="18"/>
        <v>71437674</v>
      </c>
    </row>
    <row r="369" spans="23:30" ht="15.75" customHeight="1" x14ac:dyDescent="0.25">
      <c r="W369" s="65" t="s">
        <v>472</v>
      </c>
      <c r="X369" s="47">
        <v>2023</v>
      </c>
      <c r="Y369" s="61">
        <v>4653</v>
      </c>
      <c r="Z369" s="61">
        <v>29793</v>
      </c>
      <c r="AA369" s="61">
        <v>1859</v>
      </c>
      <c r="AB369" s="61">
        <v>1860</v>
      </c>
      <c r="AC369" s="61">
        <f t="shared" si="18"/>
        <v>8649927</v>
      </c>
      <c r="AD369" s="66">
        <f t="shared" si="18"/>
        <v>55414980</v>
      </c>
    </row>
    <row r="370" spans="23:30" ht="15.75" customHeight="1" x14ac:dyDescent="0.25">
      <c r="W370" s="65" t="s">
        <v>472</v>
      </c>
      <c r="X370" s="47">
        <v>2024</v>
      </c>
      <c r="Y370" s="61">
        <v>3930</v>
      </c>
      <c r="Z370" s="61">
        <v>28928</v>
      </c>
      <c r="AA370" s="61">
        <v>1800</v>
      </c>
      <c r="AB370" s="61">
        <v>2000</v>
      </c>
      <c r="AC370" s="61">
        <f t="shared" si="18"/>
        <v>7074000</v>
      </c>
      <c r="AD370" s="66">
        <f t="shared" si="18"/>
        <v>57856000</v>
      </c>
    </row>
    <row r="371" spans="23:30" ht="15.75" customHeight="1" x14ac:dyDescent="0.25">
      <c r="W371" s="65" t="s">
        <v>473</v>
      </c>
      <c r="X371" s="47">
        <v>2021</v>
      </c>
      <c r="Y371" s="61">
        <v>59810</v>
      </c>
      <c r="Z371" s="61">
        <v>2338</v>
      </c>
      <c r="AA371" s="61">
        <v>431</v>
      </c>
      <c r="AB371" s="61"/>
      <c r="AC371" s="61">
        <f t="shared" si="18"/>
        <v>25778110</v>
      </c>
      <c r="AD371" s="66">
        <f t="shared" si="18"/>
        <v>0</v>
      </c>
    </row>
    <row r="372" spans="23:30" ht="15.75" customHeight="1" x14ac:dyDescent="0.25">
      <c r="W372" s="65" t="s">
        <v>473</v>
      </c>
      <c r="X372" s="47">
        <v>2022</v>
      </c>
      <c r="Y372" s="61">
        <v>7752</v>
      </c>
      <c r="Z372" s="61">
        <v>9290</v>
      </c>
      <c r="AA372" s="61">
        <v>854</v>
      </c>
      <c r="AB372" s="64"/>
      <c r="AC372" s="61">
        <f t="shared" si="18"/>
        <v>6620208</v>
      </c>
      <c r="AD372" s="66">
        <f t="shared" si="18"/>
        <v>0</v>
      </c>
    </row>
    <row r="373" spans="23:30" ht="15.75" customHeight="1" x14ac:dyDescent="0.25">
      <c r="W373" s="65" t="s">
        <v>473</v>
      </c>
      <c r="X373" s="47">
        <v>2023</v>
      </c>
      <c r="Y373" s="61">
        <v>11098</v>
      </c>
      <c r="Z373" s="61">
        <v>6188</v>
      </c>
      <c r="AA373" s="61">
        <v>769</v>
      </c>
      <c r="AB373" s="64">
        <v>361</v>
      </c>
      <c r="AC373" s="61">
        <f t="shared" si="18"/>
        <v>8534362</v>
      </c>
      <c r="AD373" s="66">
        <f t="shared" si="18"/>
        <v>2233868</v>
      </c>
    </row>
    <row r="374" spans="23:30" ht="15.75" customHeight="1" x14ac:dyDescent="0.25">
      <c r="W374" s="65" t="s">
        <v>473</v>
      </c>
      <c r="X374" s="47">
        <v>2024</v>
      </c>
      <c r="Y374" s="61">
        <v>16126</v>
      </c>
      <c r="Z374" s="61">
        <v>16885</v>
      </c>
      <c r="AA374" s="61">
        <v>378</v>
      </c>
      <c r="AB374" s="64">
        <v>384</v>
      </c>
      <c r="AC374" s="61">
        <f t="shared" si="18"/>
        <v>6095628</v>
      </c>
      <c r="AD374" s="66">
        <f t="shared" si="18"/>
        <v>6483840</v>
      </c>
    </row>
    <row r="375" spans="23:30" ht="15.75" customHeight="1" x14ac:dyDescent="0.25">
      <c r="W375" s="65" t="s">
        <v>200</v>
      </c>
      <c r="X375" s="47">
        <v>2021</v>
      </c>
      <c r="Y375" s="61">
        <v>48</v>
      </c>
      <c r="Z375" s="61"/>
      <c r="AA375" s="61">
        <v>2288</v>
      </c>
      <c r="AB375" s="61"/>
      <c r="AC375" s="61">
        <f t="shared" si="18"/>
        <v>109824</v>
      </c>
      <c r="AD375" s="66">
        <f t="shared" si="18"/>
        <v>0</v>
      </c>
    </row>
    <row r="376" spans="23:30" ht="15.75" customHeight="1" x14ac:dyDescent="0.25">
      <c r="W376" s="65" t="s">
        <v>200</v>
      </c>
      <c r="X376" s="47">
        <v>2022</v>
      </c>
      <c r="Y376" s="61">
        <v>26</v>
      </c>
      <c r="Z376" s="61"/>
      <c r="AA376" s="61">
        <v>2983</v>
      </c>
      <c r="AB376" s="61"/>
      <c r="AC376" s="61">
        <f t="shared" si="18"/>
        <v>77558</v>
      </c>
      <c r="AD376" s="66">
        <f t="shared" si="18"/>
        <v>0</v>
      </c>
    </row>
    <row r="377" spans="23:30" ht="15.75" customHeight="1" x14ac:dyDescent="0.25">
      <c r="W377" s="65" t="s">
        <v>200</v>
      </c>
      <c r="X377" s="47">
        <v>2023</v>
      </c>
      <c r="Y377" s="61">
        <v>83</v>
      </c>
      <c r="Z377" s="61"/>
      <c r="AA377" s="61">
        <v>2742</v>
      </c>
      <c r="AB377" s="61"/>
      <c r="AC377" s="61">
        <f t="shared" si="18"/>
        <v>227586</v>
      </c>
      <c r="AD377" s="66">
        <f t="shared" si="18"/>
        <v>0</v>
      </c>
    </row>
    <row r="378" spans="23:30" ht="15.75" customHeight="1" x14ac:dyDescent="0.25">
      <c r="W378" s="65" t="s">
        <v>200</v>
      </c>
      <c r="X378" s="47">
        <v>2024</v>
      </c>
      <c r="Y378" s="61">
        <v>43</v>
      </c>
      <c r="Z378" s="61"/>
      <c r="AA378" s="61">
        <v>2910</v>
      </c>
      <c r="AB378" s="61"/>
      <c r="AC378" s="61">
        <f t="shared" si="18"/>
        <v>125130</v>
      </c>
      <c r="AD378" s="66">
        <f t="shared" si="18"/>
        <v>0</v>
      </c>
    </row>
    <row r="379" spans="23:30" ht="15.75" customHeight="1" x14ac:dyDescent="0.25">
      <c r="W379" s="65" t="s">
        <v>168</v>
      </c>
      <c r="X379" s="47">
        <v>2021</v>
      </c>
      <c r="Y379" s="61">
        <v>2000</v>
      </c>
      <c r="Z379" s="61"/>
      <c r="AA379" s="61">
        <v>2983</v>
      </c>
      <c r="AB379" s="61"/>
      <c r="AC379" s="61">
        <f t="shared" si="18"/>
        <v>5966000</v>
      </c>
      <c r="AD379" s="66">
        <f t="shared" si="18"/>
        <v>0</v>
      </c>
    </row>
    <row r="380" spans="23:30" ht="15.75" customHeight="1" x14ac:dyDescent="0.25">
      <c r="W380" s="65" t="s">
        <v>508</v>
      </c>
      <c r="X380" s="47">
        <v>2022</v>
      </c>
      <c r="Y380" s="61">
        <v>4500</v>
      </c>
      <c r="Z380" s="61"/>
      <c r="AA380" s="61">
        <v>3164</v>
      </c>
      <c r="AB380" s="61"/>
      <c r="AC380" s="61">
        <f t="shared" si="18"/>
        <v>14238000</v>
      </c>
      <c r="AD380" s="66">
        <f t="shared" si="18"/>
        <v>0</v>
      </c>
    </row>
    <row r="381" spans="23:30" ht="15.75" customHeight="1" x14ac:dyDescent="0.25">
      <c r="W381" s="65" t="s">
        <v>509</v>
      </c>
      <c r="X381" s="47">
        <v>2023</v>
      </c>
      <c r="Y381" s="61">
        <v>2000</v>
      </c>
      <c r="Z381" s="61"/>
      <c r="AA381" s="61">
        <v>3263</v>
      </c>
      <c r="AB381" s="61"/>
      <c r="AC381" s="61">
        <f t="shared" si="18"/>
        <v>6526000</v>
      </c>
      <c r="AD381" s="66">
        <f t="shared" si="18"/>
        <v>0</v>
      </c>
    </row>
    <row r="382" spans="23:30" ht="15.75" customHeight="1" x14ac:dyDescent="0.25">
      <c r="W382" s="65" t="s">
        <v>510</v>
      </c>
      <c r="X382" s="47">
        <v>2024</v>
      </c>
      <c r="Y382" s="61">
        <v>1000</v>
      </c>
      <c r="Z382" s="61">
        <v>20</v>
      </c>
      <c r="AA382" s="61">
        <v>3895</v>
      </c>
      <c r="AB382" s="61"/>
      <c r="AC382" s="61">
        <f t="shared" si="18"/>
        <v>3895000</v>
      </c>
      <c r="AD382" s="66">
        <f t="shared" si="18"/>
        <v>0</v>
      </c>
    </row>
    <row r="383" spans="23:30" ht="15.75" customHeight="1" x14ac:dyDescent="0.25">
      <c r="W383" s="65" t="s">
        <v>171</v>
      </c>
      <c r="X383" s="47">
        <v>2021</v>
      </c>
      <c r="Y383" s="61">
        <v>12695</v>
      </c>
      <c r="Z383" s="61">
        <v>2038</v>
      </c>
      <c r="AA383" s="61">
        <v>2983</v>
      </c>
      <c r="AB383" s="63">
        <v>2829</v>
      </c>
      <c r="AC383" s="61">
        <f t="shared" si="18"/>
        <v>37869185</v>
      </c>
      <c r="AD383" s="66">
        <f t="shared" si="18"/>
        <v>5765502</v>
      </c>
    </row>
    <row r="384" spans="23:30" ht="15.75" customHeight="1" x14ac:dyDescent="0.25">
      <c r="W384" s="65" t="s">
        <v>511</v>
      </c>
      <c r="X384" s="47">
        <v>2022</v>
      </c>
      <c r="Y384" s="61">
        <v>15047</v>
      </c>
      <c r="Z384" s="61">
        <v>2158</v>
      </c>
      <c r="AA384" s="61">
        <v>3853</v>
      </c>
      <c r="AB384" s="63">
        <v>3813</v>
      </c>
      <c r="AC384" s="61">
        <f t="shared" ref="AC384:AD447" si="19">Y384*AA384</f>
        <v>57976091</v>
      </c>
      <c r="AD384" s="66">
        <f t="shared" si="19"/>
        <v>8228454</v>
      </c>
    </row>
    <row r="385" spans="23:30" ht="15.75" customHeight="1" x14ac:dyDescent="0.25">
      <c r="W385" s="65" t="s">
        <v>512</v>
      </c>
      <c r="X385" s="47">
        <v>2023</v>
      </c>
      <c r="Y385" s="61">
        <v>10693</v>
      </c>
      <c r="Z385" s="61">
        <v>2532</v>
      </c>
      <c r="AA385" s="61">
        <v>3263</v>
      </c>
      <c r="AB385" s="63">
        <v>4375</v>
      </c>
      <c r="AC385" s="61">
        <f t="shared" si="19"/>
        <v>34891259</v>
      </c>
      <c r="AD385" s="66">
        <f t="shared" si="19"/>
        <v>11077500</v>
      </c>
    </row>
    <row r="386" spans="23:30" ht="15.75" customHeight="1" x14ac:dyDescent="0.25">
      <c r="W386" s="65" t="s">
        <v>513</v>
      </c>
      <c r="X386" s="47">
        <v>2024</v>
      </c>
      <c r="Y386" s="61">
        <v>3638</v>
      </c>
      <c r="Z386" s="61">
        <v>116</v>
      </c>
      <c r="AA386" s="61">
        <v>3895</v>
      </c>
      <c r="AB386" s="63">
        <v>2270</v>
      </c>
      <c r="AC386" s="61">
        <f t="shared" si="19"/>
        <v>14170010</v>
      </c>
      <c r="AD386" s="66">
        <f t="shared" si="19"/>
        <v>263320</v>
      </c>
    </row>
    <row r="387" spans="23:30" ht="15.75" customHeight="1" x14ac:dyDescent="0.25">
      <c r="W387" s="65" t="s">
        <v>474</v>
      </c>
      <c r="X387" s="47">
        <v>2021</v>
      </c>
      <c r="Y387" s="61">
        <v>12790</v>
      </c>
      <c r="Z387" s="61"/>
      <c r="AA387" s="61">
        <v>1472</v>
      </c>
      <c r="AB387" s="61"/>
      <c r="AC387" s="61">
        <f t="shared" si="19"/>
        <v>18826880</v>
      </c>
      <c r="AD387" s="66">
        <f t="shared" si="19"/>
        <v>0</v>
      </c>
    </row>
    <row r="388" spans="23:30" ht="15.75" customHeight="1" x14ac:dyDescent="0.25">
      <c r="W388" s="65" t="s">
        <v>474</v>
      </c>
      <c r="X388" s="47">
        <v>2022</v>
      </c>
      <c r="Y388" s="61">
        <v>16772</v>
      </c>
      <c r="Z388" s="61"/>
      <c r="AA388" s="61">
        <v>1615</v>
      </c>
      <c r="AB388" s="61"/>
      <c r="AC388" s="61">
        <f t="shared" si="19"/>
        <v>27086780</v>
      </c>
      <c r="AD388" s="66">
        <f t="shared" si="19"/>
        <v>0</v>
      </c>
    </row>
    <row r="389" spans="23:30" ht="15.75" customHeight="1" x14ac:dyDescent="0.25">
      <c r="W389" s="65" t="s">
        <v>474</v>
      </c>
      <c r="X389" s="47">
        <v>2023</v>
      </c>
      <c r="Y389" s="61">
        <v>19030</v>
      </c>
      <c r="Z389" s="61"/>
      <c r="AA389" s="61">
        <v>1615</v>
      </c>
      <c r="AB389" s="61"/>
      <c r="AC389" s="61">
        <f t="shared" si="19"/>
        <v>30733450</v>
      </c>
      <c r="AD389" s="66">
        <f t="shared" si="19"/>
        <v>0</v>
      </c>
    </row>
    <row r="390" spans="23:30" ht="15.75" customHeight="1" x14ac:dyDescent="0.25">
      <c r="W390" s="65" t="s">
        <v>474</v>
      </c>
      <c r="X390" s="47">
        <v>2024</v>
      </c>
      <c r="Y390" s="61">
        <v>15557</v>
      </c>
      <c r="Z390" s="61"/>
      <c r="AA390" s="61">
        <v>1394</v>
      </c>
      <c r="AB390" s="61"/>
      <c r="AC390" s="61">
        <f t="shared" si="19"/>
        <v>21686458</v>
      </c>
      <c r="AD390" s="66">
        <f t="shared" si="19"/>
        <v>0</v>
      </c>
    </row>
    <row r="391" spans="23:30" ht="15.75" customHeight="1" x14ac:dyDescent="0.25">
      <c r="W391" s="65" t="s">
        <v>475</v>
      </c>
      <c r="X391" s="47">
        <v>2021</v>
      </c>
      <c r="Y391" s="61">
        <v>63</v>
      </c>
      <c r="Z391" s="61"/>
      <c r="AA391" s="63"/>
      <c r="AB391" s="61"/>
      <c r="AC391" s="61">
        <f t="shared" si="19"/>
        <v>0</v>
      </c>
      <c r="AD391" s="66">
        <f t="shared" si="19"/>
        <v>0</v>
      </c>
    </row>
    <row r="392" spans="23:30" ht="15.75" customHeight="1" x14ac:dyDescent="0.25">
      <c r="W392" s="65" t="s">
        <v>475</v>
      </c>
      <c r="X392" s="47">
        <v>2022</v>
      </c>
      <c r="Y392" s="61">
        <v>74</v>
      </c>
      <c r="Z392" s="61"/>
      <c r="AA392" s="63"/>
      <c r="AB392" s="61"/>
      <c r="AC392" s="61">
        <f t="shared" si="19"/>
        <v>0</v>
      </c>
      <c r="AD392" s="66">
        <f t="shared" si="19"/>
        <v>0</v>
      </c>
    </row>
    <row r="393" spans="23:30" ht="15.75" customHeight="1" x14ac:dyDescent="0.25">
      <c r="W393" s="65" t="s">
        <v>475</v>
      </c>
      <c r="X393" s="47">
        <v>2023</v>
      </c>
      <c r="Y393" s="61">
        <v>66</v>
      </c>
      <c r="Z393" s="61"/>
      <c r="AA393" s="63"/>
      <c r="AB393" s="61"/>
      <c r="AC393" s="61">
        <f t="shared" si="19"/>
        <v>0</v>
      </c>
      <c r="AD393" s="66">
        <f t="shared" si="19"/>
        <v>0</v>
      </c>
    </row>
    <row r="394" spans="23:30" ht="15.75" customHeight="1" x14ac:dyDescent="0.25">
      <c r="W394" s="65" t="s">
        <v>475</v>
      </c>
      <c r="X394" s="47">
        <v>2024</v>
      </c>
      <c r="Y394" s="61">
        <v>82</v>
      </c>
      <c r="Z394" s="61"/>
      <c r="AA394" s="64"/>
      <c r="AB394" s="61"/>
      <c r="AC394" s="61">
        <f t="shared" si="19"/>
        <v>0</v>
      </c>
      <c r="AD394" s="66">
        <f t="shared" si="19"/>
        <v>0</v>
      </c>
    </row>
    <row r="395" spans="23:30" ht="15.75" customHeight="1" x14ac:dyDescent="0.25">
      <c r="W395" s="65" t="s">
        <v>476</v>
      </c>
      <c r="X395" s="47">
        <v>2021</v>
      </c>
      <c r="Y395" s="61">
        <v>21062</v>
      </c>
      <c r="Z395" s="61"/>
      <c r="AA395" s="61">
        <v>1496</v>
      </c>
      <c r="AB395" s="61"/>
      <c r="AC395" s="61">
        <f t="shared" si="19"/>
        <v>31508752</v>
      </c>
      <c r="AD395" s="66">
        <f t="shared" si="19"/>
        <v>0</v>
      </c>
    </row>
    <row r="396" spans="23:30" ht="15.75" customHeight="1" x14ac:dyDescent="0.25">
      <c r="W396" s="65" t="s">
        <v>476</v>
      </c>
      <c r="X396" s="47">
        <v>2022</v>
      </c>
      <c r="Y396" s="61">
        <v>18089</v>
      </c>
      <c r="Z396" s="61"/>
      <c r="AA396" s="61">
        <v>2244</v>
      </c>
      <c r="AB396" s="61"/>
      <c r="AC396" s="61">
        <f t="shared" si="19"/>
        <v>40591716</v>
      </c>
      <c r="AD396" s="66">
        <f t="shared" si="19"/>
        <v>0</v>
      </c>
    </row>
    <row r="397" spans="23:30" ht="15.75" customHeight="1" x14ac:dyDescent="0.25">
      <c r="W397" s="65" t="s">
        <v>476</v>
      </c>
      <c r="X397" s="47">
        <v>2023</v>
      </c>
      <c r="Y397" s="61">
        <v>21732</v>
      </c>
      <c r="Z397" s="61"/>
      <c r="AA397" s="61">
        <v>2456</v>
      </c>
      <c r="AB397" s="61"/>
      <c r="AC397" s="61">
        <f t="shared" si="19"/>
        <v>53373792</v>
      </c>
      <c r="AD397" s="66">
        <f t="shared" si="19"/>
        <v>0</v>
      </c>
    </row>
    <row r="398" spans="23:30" ht="15.75" customHeight="1" x14ac:dyDescent="0.25">
      <c r="W398" s="65" t="s">
        <v>476</v>
      </c>
      <c r="X398" s="47">
        <v>2024</v>
      </c>
      <c r="Y398" s="61">
        <v>10249</v>
      </c>
      <c r="Z398" s="61"/>
      <c r="AA398" s="61">
        <v>2200</v>
      </c>
      <c r="AB398" s="61"/>
      <c r="AC398" s="61">
        <f t="shared" si="19"/>
        <v>22547800</v>
      </c>
      <c r="AD398" s="66">
        <f t="shared" si="19"/>
        <v>0</v>
      </c>
    </row>
    <row r="399" spans="23:30" ht="15.75" customHeight="1" x14ac:dyDescent="0.25">
      <c r="W399" s="65" t="s">
        <v>477</v>
      </c>
      <c r="X399" s="47">
        <v>2021</v>
      </c>
      <c r="Y399" s="61">
        <v>1386</v>
      </c>
      <c r="Z399" s="61">
        <v>18</v>
      </c>
      <c r="AA399" s="61">
        <v>984</v>
      </c>
      <c r="AB399" s="61"/>
      <c r="AC399" s="61">
        <f t="shared" si="19"/>
        <v>1363824</v>
      </c>
      <c r="AD399" s="66">
        <f t="shared" si="19"/>
        <v>0</v>
      </c>
    </row>
    <row r="400" spans="23:30" ht="15.75" customHeight="1" x14ac:dyDescent="0.25">
      <c r="W400" s="65" t="s">
        <v>477</v>
      </c>
      <c r="X400" s="47">
        <v>2022</v>
      </c>
      <c r="Y400" s="61">
        <v>1092</v>
      </c>
      <c r="Z400" s="61"/>
      <c r="AA400" s="61">
        <v>1247</v>
      </c>
      <c r="AB400" s="61"/>
      <c r="AC400" s="61">
        <f t="shared" si="19"/>
        <v>1361724</v>
      </c>
      <c r="AD400" s="66">
        <f t="shared" si="19"/>
        <v>0</v>
      </c>
    </row>
    <row r="401" spans="23:30" ht="15.75" customHeight="1" x14ac:dyDescent="0.25">
      <c r="W401" s="65" t="s">
        <v>477</v>
      </c>
      <c r="X401" s="47">
        <v>2023</v>
      </c>
      <c r="Y401" s="61">
        <v>936</v>
      </c>
      <c r="Z401" s="61">
        <v>3</v>
      </c>
      <c r="AA401" s="61">
        <v>1212</v>
      </c>
      <c r="AB401" s="61"/>
      <c r="AC401" s="61">
        <f t="shared" si="19"/>
        <v>1134432</v>
      </c>
      <c r="AD401" s="66">
        <f t="shared" si="19"/>
        <v>0</v>
      </c>
    </row>
    <row r="402" spans="23:30" ht="15.75" customHeight="1" x14ac:dyDescent="0.25">
      <c r="W402" s="65" t="s">
        <v>477</v>
      </c>
      <c r="X402" s="47">
        <v>2024</v>
      </c>
      <c r="Y402" s="61">
        <v>576</v>
      </c>
      <c r="Z402" s="61">
        <v>4</v>
      </c>
      <c r="AA402" s="61">
        <v>1110</v>
      </c>
      <c r="AB402" s="61"/>
      <c r="AC402" s="61">
        <f t="shared" si="19"/>
        <v>639360</v>
      </c>
      <c r="AD402" s="66">
        <f t="shared" si="19"/>
        <v>0</v>
      </c>
    </row>
    <row r="403" spans="23:30" ht="15.75" customHeight="1" x14ac:dyDescent="0.25">
      <c r="W403" s="65" t="s">
        <v>212</v>
      </c>
      <c r="X403" s="47">
        <v>2021</v>
      </c>
      <c r="Y403" s="61">
        <v>2542</v>
      </c>
      <c r="Z403" s="61"/>
      <c r="AA403" s="61">
        <v>1932</v>
      </c>
      <c r="AB403" s="61"/>
      <c r="AC403" s="61">
        <f t="shared" si="19"/>
        <v>4911144</v>
      </c>
      <c r="AD403" s="66">
        <f t="shared" si="19"/>
        <v>0</v>
      </c>
    </row>
    <row r="404" spans="23:30" ht="15.75" customHeight="1" x14ac:dyDescent="0.25">
      <c r="W404" s="65" t="s">
        <v>212</v>
      </c>
      <c r="X404" s="47">
        <v>2022</v>
      </c>
      <c r="Y404" s="61">
        <v>1632</v>
      </c>
      <c r="Z404" s="61"/>
      <c r="AA404" s="61">
        <v>2364</v>
      </c>
      <c r="AB404" s="61"/>
      <c r="AC404" s="61">
        <f t="shared" si="19"/>
        <v>3858048</v>
      </c>
      <c r="AD404" s="66">
        <f t="shared" si="19"/>
        <v>0</v>
      </c>
    </row>
    <row r="405" spans="23:30" ht="15.75" customHeight="1" x14ac:dyDescent="0.25">
      <c r="W405" s="65" t="s">
        <v>212</v>
      </c>
      <c r="X405" s="47">
        <v>2023</v>
      </c>
      <c r="Y405" s="61">
        <v>1405</v>
      </c>
      <c r="Z405" s="61"/>
      <c r="AA405" s="61">
        <v>1748</v>
      </c>
      <c r="AB405" s="61"/>
      <c r="AC405" s="61">
        <f t="shared" si="19"/>
        <v>2455940</v>
      </c>
      <c r="AD405" s="66">
        <f t="shared" si="19"/>
        <v>0</v>
      </c>
    </row>
    <row r="406" spans="23:30" ht="15.75" customHeight="1" x14ac:dyDescent="0.25">
      <c r="W406" s="65" t="s">
        <v>212</v>
      </c>
      <c r="X406" s="47">
        <v>2024</v>
      </c>
      <c r="Y406" s="61">
        <v>1218</v>
      </c>
      <c r="Z406" s="61"/>
      <c r="AA406" s="61">
        <v>1598</v>
      </c>
      <c r="AB406" s="61"/>
      <c r="AC406" s="61">
        <f t="shared" si="19"/>
        <v>1946364</v>
      </c>
      <c r="AD406" s="66">
        <f t="shared" si="19"/>
        <v>0</v>
      </c>
    </row>
    <row r="407" spans="23:30" ht="15.75" customHeight="1" x14ac:dyDescent="0.25">
      <c r="W407" s="65" t="s">
        <v>478</v>
      </c>
      <c r="X407" s="47">
        <v>2021</v>
      </c>
      <c r="Y407" s="61">
        <v>33263</v>
      </c>
      <c r="Z407" s="61">
        <v>59664</v>
      </c>
      <c r="AA407" s="61">
        <v>1678</v>
      </c>
      <c r="AB407" s="61">
        <v>1403</v>
      </c>
      <c r="AC407" s="61">
        <f t="shared" si="19"/>
        <v>55815314</v>
      </c>
      <c r="AD407" s="66">
        <f t="shared" si="19"/>
        <v>83708592</v>
      </c>
    </row>
    <row r="408" spans="23:30" ht="15.75" customHeight="1" x14ac:dyDescent="0.25">
      <c r="W408" s="65" t="s">
        <v>478</v>
      </c>
      <c r="X408" s="47">
        <v>2022</v>
      </c>
      <c r="Y408" s="61">
        <v>21317</v>
      </c>
      <c r="Z408" s="61">
        <v>46388</v>
      </c>
      <c r="AA408" s="61">
        <v>1872</v>
      </c>
      <c r="AB408" s="61">
        <v>1210</v>
      </c>
      <c r="AC408" s="61">
        <f t="shared" si="19"/>
        <v>39905424</v>
      </c>
      <c r="AD408" s="66">
        <f t="shared" si="19"/>
        <v>56129480</v>
      </c>
    </row>
    <row r="409" spans="23:30" ht="15.75" customHeight="1" x14ac:dyDescent="0.25">
      <c r="W409" s="65" t="s">
        <v>478</v>
      </c>
      <c r="X409" s="47">
        <v>2023</v>
      </c>
      <c r="Y409" s="61">
        <v>10392</v>
      </c>
      <c r="Z409" s="61">
        <v>48084</v>
      </c>
      <c r="AA409" s="61">
        <v>1779</v>
      </c>
      <c r="AB409" s="61">
        <v>701</v>
      </c>
      <c r="AC409" s="61">
        <f t="shared" si="19"/>
        <v>18487368</v>
      </c>
      <c r="AD409" s="66">
        <f t="shared" si="19"/>
        <v>33706884</v>
      </c>
    </row>
    <row r="410" spans="23:30" ht="15.75" customHeight="1" x14ac:dyDescent="0.25">
      <c r="W410" s="65" t="s">
        <v>478</v>
      </c>
      <c r="X410" s="47">
        <v>2024</v>
      </c>
      <c r="Y410" s="61">
        <v>9985</v>
      </c>
      <c r="Z410" s="61">
        <v>93187</v>
      </c>
      <c r="AA410" s="61">
        <v>1677</v>
      </c>
      <c r="AB410" s="61">
        <v>759</v>
      </c>
      <c r="AC410" s="61">
        <f t="shared" si="19"/>
        <v>16744845</v>
      </c>
      <c r="AD410" s="66">
        <f t="shared" si="19"/>
        <v>70728933</v>
      </c>
    </row>
    <row r="411" spans="23:30" ht="15.75" customHeight="1" x14ac:dyDescent="0.25">
      <c r="W411" s="65" t="s">
        <v>479</v>
      </c>
      <c r="X411" s="47">
        <v>2021</v>
      </c>
      <c r="Y411" s="61">
        <v>3309</v>
      </c>
      <c r="Z411" s="61">
        <v>15006</v>
      </c>
      <c r="AA411" s="61">
        <v>2264</v>
      </c>
      <c r="AB411" s="61">
        <v>1750</v>
      </c>
      <c r="AC411" s="61">
        <f t="shared" si="19"/>
        <v>7491576</v>
      </c>
      <c r="AD411" s="66">
        <f t="shared" si="19"/>
        <v>26260500</v>
      </c>
    </row>
    <row r="412" spans="23:30" ht="15.75" customHeight="1" x14ac:dyDescent="0.25">
      <c r="W412" s="65" t="s">
        <v>479</v>
      </c>
      <c r="X412" s="47">
        <v>2022</v>
      </c>
      <c r="Y412" s="61">
        <v>4903</v>
      </c>
      <c r="Z412" s="61">
        <v>10020</v>
      </c>
      <c r="AA412" s="61">
        <v>2529</v>
      </c>
      <c r="AB412" s="61">
        <v>1923</v>
      </c>
      <c r="AC412" s="61">
        <f t="shared" si="19"/>
        <v>12399687</v>
      </c>
      <c r="AD412" s="66">
        <f t="shared" si="19"/>
        <v>19268460</v>
      </c>
    </row>
    <row r="413" spans="23:30" ht="15.75" customHeight="1" x14ac:dyDescent="0.25">
      <c r="W413" s="65" t="s">
        <v>479</v>
      </c>
      <c r="X413" s="47">
        <v>2023</v>
      </c>
      <c r="Y413" s="61">
        <v>3904</v>
      </c>
      <c r="Z413" s="61">
        <v>8974</v>
      </c>
      <c r="AA413" s="61">
        <v>2271</v>
      </c>
      <c r="AB413" s="61">
        <v>1442</v>
      </c>
      <c r="AC413" s="61">
        <f t="shared" si="19"/>
        <v>8865984</v>
      </c>
      <c r="AD413" s="66">
        <f t="shared" si="19"/>
        <v>12940508</v>
      </c>
    </row>
    <row r="414" spans="23:30" ht="15.75" customHeight="1" x14ac:dyDescent="0.25">
      <c r="W414" s="65" t="s">
        <v>479</v>
      </c>
      <c r="X414" s="47">
        <v>2024</v>
      </c>
      <c r="Y414" s="61">
        <v>1867</v>
      </c>
      <c r="Z414" s="61">
        <v>8399</v>
      </c>
      <c r="AA414" s="61">
        <v>2633</v>
      </c>
      <c r="AB414" s="61">
        <v>1573</v>
      </c>
      <c r="AC414" s="61">
        <f t="shared" si="19"/>
        <v>4915811</v>
      </c>
      <c r="AD414" s="66">
        <f t="shared" si="19"/>
        <v>13211627</v>
      </c>
    </row>
    <row r="415" spans="23:30" ht="15.75" customHeight="1" x14ac:dyDescent="0.25">
      <c r="W415" s="65" t="s">
        <v>480</v>
      </c>
      <c r="X415" s="47">
        <v>2021</v>
      </c>
      <c r="Y415" s="61">
        <v>9038</v>
      </c>
      <c r="Z415" s="61">
        <v>608</v>
      </c>
      <c r="AA415" s="61">
        <v>1892</v>
      </c>
      <c r="AB415" s="61">
        <v>1980</v>
      </c>
      <c r="AC415" s="61">
        <f t="shared" si="19"/>
        <v>17099896</v>
      </c>
      <c r="AD415" s="66">
        <f t="shared" si="19"/>
        <v>1203840</v>
      </c>
    </row>
    <row r="416" spans="23:30" ht="15.75" customHeight="1" x14ac:dyDescent="0.25">
      <c r="W416" s="65" t="s">
        <v>480</v>
      </c>
      <c r="X416" s="47">
        <v>2022</v>
      </c>
      <c r="Y416" s="61">
        <v>8632</v>
      </c>
      <c r="Z416" s="61">
        <v>569</v>
      </c>
      <c r="AA416" s="61">
        <v>2638</v>
      </c>
      <c r="AB416" s="61">
        <v>2270</v>
      </c>
      <c r="AC416" s="61">
        <f t="shared" si="19"/>
        <v>22771216</v>
      </c>
      <c r="AD416" s="66">
        <f t="shared" si="19"/>
        <v>1291630</v>
      </c>
    </row>
    <row r="417" spans="23:30" ht="15.75" customHeight="1" x14ac:dyDescent="0.25">
      <c r="W417" s="65" t="s">
        <v>480</v>
      </c>
      <c r="X417" s="47">
        <v>2023</v>
      </c>
      <c r="Y417" s="61">
        <v>7989</v>
      </c>
      <c r="Z417" s="61">
        <v>58</v>
      </c>
      <c r="AA417" s="61">
        <v>2117</v>
      </c>
      <c r="AB417" s="61">
        <v>1750</v>
      </c>
      <c r="AC417" s="61">
        <f t="shared" si="19"/>
        <v>16912713</v>
      </c>
      <c r="AD417" s="66">
        <f t="shared" si="19"/>
        <v>101500</v>
      </c>
    </row>
    <row r="418" spans="23:30" ht="15.75" customHeight="1" x14ac:dyDescent="0.25">
      <c r="W418" s="65" t="s">
        <v>480</v>
      </c>
      <c r="X418" s="47">
        <v>2024</v>
      </c>
      <c r="Y418" s="61">
        <v>4507</v>
      </c>
      <c r="Z418" s="61">
        <v>898</v>
      </c>
      <c r="AA418" s="61">
        <v>2070</v>
      </c>
      <c r="AB418" s="61">
        <v>2667</v>
      </c>
      <c r="AC418" s="61">
        <f t="shared" si="19"/>
        <v>9329490</v>
      </c>
      <c r="AD418" s="66">
        <f t="shared" si="19"/>
        <v>2394966</v>
      </c>
    </row>
    <row r="419" spans="23:30" ht="15.75" customHeight="1" x14ac:dyDescent="0.25">
      <c r="W419" s="65" t="s">
        <v>481</v>
      </c>
      <c r="X419" s="47">
        <v>2021</v>
      </c>
      <c r="Y419" s="61">
        <v>588</v>
      </c>
      <c r="Z419" s="61">
        <v>19</v>
      </c>
      <c r="AA419" s="61">
        <v>3551</v>
      </c>
      <c r="AB419" s="61"/>
      <c r="AC419" s="61">
        <f t="shared" si="19"/>
        <v>2087988</v>
      </c>
      <c r="AD419" s="66">
        <f t="shared" si="19"/>
        <v>0</v>
      </c>
    </row>
    <row r="420" spans="23:30" ht="15.75" customHeight="1" x14ac:dyDescent="0.25">
      <c r="W420" s="65" t="s">
        <v>481</v>
      </c>
      <c r="X420" s="47">
        <v>2022</v>
      </c>
      <c r="Y420" s="61">
        <v>544</v>
      </c>
      <c r="Z420" s="61">
        <v>5</v>
      </c>
      <c r="AA420" s="61">
        <v>4402</v>
      </c>
      <c r="AB420" s="61"/>
      <c r="AC420" s="61">
        <f t="shared" si="19"/>
        <v>2394688</v>
      </c>
      <c r="AD420" s="66">
        <f t="shared" si="19"/>
        <v>0</v>
      </c>
    </row>
    <row r="421" spans="23:30" ht="15.75" customHeight="1" x14ac:dyDescent="0.25">
      <c r="W421" s="65" t="s">
        <v>481</v>
      </c>
      <c r="X421" s="47">
        <v>2023</v>
      </c>
      <c r="Y421" s="61">
        <v>533</v>
      </c>
      <c r="Z421" s="61"/>
      <c r="AA421" s="61">
        <v>5020</v>
      </c>
      <c r="AB421" s="61"/>
      <c r="AC421" s="61">
        <f t="shared" si="19"/>
        <v>2675660</v>
      </c>
      <c r="AD421" s="66">
        <f t="shared" si="19"/>
        <v>0</v>
      </c>
    </row>
    <row r="422" spans="23:30" ht="15.75" customHeight="1" x14ac:dyDescent="0.25">
      <c r="W422" s="65" t="s">
        <v>481</v>
      </c>
      <c r="X422" s="47">
        <v>2024</v>
      </c>
      <c r="Y422" s="61">
        <v>483</v>
      </c>
      <c r="Z422" s="61"/>
      <c r="AA422" s="61">
        <v>5076</v>
      </c>
      <c r="AB422" s="61"/>
      <c r="AC422" s="61">
        <f t="shared" si="19"/>
        <v>2451708</v>
      </c>
      <c r="AD422" s="66">
        <f t="shared" si="19"/>
        <v>0</v>
      </c>
    </row>
    <row r="423" spans="23:30" ht="15.75" customHeight="1" x14ac:dyDescent="0.25">
      <c r="W423" s="65" t="s">
        <v>482</v>
      </c>
      <c r="X423" s="47">
        <v>2021</v>
      </c>
      <c r="Y423" s="61">
        <v>114263</v>
      </c>
      <c r="Z423" s="61">
        <v>112738</v>
      </c>
      <c r="AA423" s="61">
        <v>1706</v>
      </c>
      <c r="AB423" s="61">
        <v>1516</v>
      </c>
      <c r="AC423" s="61">
        <f t="shared" si="19"/>
        <v>194932678</v>
      </c>
      <c r="AD423" s="66">
        <f t="shared" si="19"/>
        <v>170910808</v>
      </c>
    </row>
    <row r="424" spans="23:30" ht="15.75" customHeight="1" x14ac:dyDescent="0.25">
      <c r="W424" s="65" t="s">
        <v>482</v>
      </c>
      <c r="X424" s="47">
        <v>2022</v>
      </c>
      <c r="Y424" s="61">
        <v>133726</v>
      </c>
      <c r="Z424" s="61">
        <v>115154</v>
      </c>
      <c r="AA424" s="61">
        <v>1852</v>
      </c>
      <c r="AB424" s="61">
        <v>1613</v>
      </c>
      <c r="AC424" s="61">
        <f t="shared" si="19"/>
        <v>247660552</v>
      </c>
      <c r="AD424" s="66">
        <f t="shared" si="19"/>
        <v>185743402</v>
      </c>
    </row>
    <row r="425" spans="23:30" ht="15.75" customHeight="1" x14ac:dyDescent="0.25">
      <c r="W425" s="65" t="s">
        <v>482</v>
      </c>
      <c r="X425" s="47">
        <v>2023</v>
      </c>
      <c r="Y425" s="61">
        <v>89326</v>
      </c>
      <c r="Z425" s="61">
        <v>89333</v>
      </c>
      <c r="AA425" s="61">
        <v>1694</v>
      </c>
      <c r="AB425" s="61">
        <v>1130</v>
      </c>
      <c r="AC425" s="61">
        <f t="shared" si="19"/>
        <v>151318244</v>
      </c>
      <c r="AD425" s="66">
        <f t="shared" si="19"/>
        <v>100946290</v>
      </c>
    </row>
    <row r="426" spans="23:30" ht="15.75" customHeight="1" x14ac:dyDescent="0.25">
      <c r="W426" s="65" t="s">
        <v>482</v>
      </c>
      <c r="X426" s="47">
        <v>2024</v>
      </c>
      <c r="Y426" s="61">
        <v>88991</v>
      </c>
      <c r="Z426" s="61">
        <v>125319</v>
      </c>
      <c r="AA426" s="61">
        <v>1489</v>
      </c>
      <c r="AB426" s="61">
        <v>1202</v>
      </c>
      <c r="AC426" s="61">
        <f t="shared" si="19"/>
        <v>132507599</v>
      </c>
      <c r="AD426" s="66">
        <f t="shared" si="19"/>
        <v>150633438</v>
      </c>
    </row>
    <row r="427" spans="23:30" ht="15.75" customHeight="1" x14ac:dyDescent="0.25">
      <c r="W427" s="65" t="s">
        <v>483</v>
      </c>
      <c r="X427" s="47">
        <v>2021</v>
      </c>
      <c r="Y427" s="61">
        <v>78609</v>
      </c>
      <c r="Z427" s="61">
        <v>20678</v>
      </c>
      <c r="AA427" s="61">
        <v>1841</v>
      </c>
      <c r="AB427" s="61">
        <v>1641</v>
      </c>
      <c r="AC427" s="61">
        <f t="shared" si="19"/>
        <v>144719169</v>
      </c>
      <c r="AD427" s="66">
        <f t="shared" si="19"/>
        <v>33932598</v>
      </c>
    </row>
    <row r="428" spans="23:30" ht="15.75" customHeight="1" x14ac:dyDescent="0.25">
      <c r="W428" s="65" t="s">
        <v>483</v>
      </c>
      <c r="X428" s="47">
        <v>2022</v>
      </c>
      <c r="Y428" s="61">
        <v>91620</v>
      </c>
      <c r="Z428" s="61">
        <v>18475</v>
      </c>
      <c r="AA428" s="61">
        <v>1992</v>
      </c>
      <c r="AB428" s="61">
        <v>1723</v>
      </c>
      <c r="AC428" s="61">
        <f t="shared" si="19"/>
        <v>182507040</v>
      </c>
      <c r="AD428" s="66">
        <f t="shared" si="19"/>
        <v>31832425</v>
      </c>
    </row>
    <row r="429" spans="23:30" ht="15.75" customHeight="1" x14ac:dyDescent="0.25">
      <c r="W429" s="65" t="s">
        <v>483</v>
      </c>
      <c r="X429" s="47">
        <v>2023</v>
      </c>
      <c r="Y429" s="61">
        <v>91351</v>
      </c>
      <c r="Z429" s="61">
        <v>32689</v>
      </c>
      <c r="AA429" s="61">
        <v>1605</v>
      </c>
      <c r="AB429" s="61">
        <v>1161</v>
      </c>
      <c r="AC429" s="61">
        <f t="shared" si="19"/>
        <v>146618355</v>
      </c>
      <c r="AD429" s="66">
        <f t="shared" si="19"/>
        <v>37951929</v>
      </c>
    </row>
    <row r="430" spans="23:30" ht="15.75" customHeight="1" x14ac:dyDescent="0.25">
      <c r="W430" s="65" t="s">
        <v>483</v>
      </c>
      <c r="X430" s="47">
        <v>2024</v>
      </c>
      <c r="Y430" s="61">
        <v>125823</v>
      </c>
      <c r="Z430" s="61">
        <v>27511</v>
      </c>
      <c r="AA430" s="61">
        <v>1439</v>
      </c>
      <c r="AB430" s="61">
        <v>1185</v>
      </c>
      <c r="AC430" s="61">
        <f t="shared" si="19"/>
        <v>181059297</v>
      </c>
      <c r="AD430" s="66">
        <f t="shared" si="19"/>
        <v>32600535</v>
      </c>
    </row>
    <row r="431" spans="23:30" ht="15.75" customHeight="1" x14ac:dyDescent="0.25">
      <c r="W431" s="65" t="s">
        <v>484</v>
      </c>
      <c r="X431" s="47">
        <v>2021</v>
      </c>
      <c r="Y431" s="61">
        <v>127808</v>
      </c>
      <c r="Z431" s="61">
        <v>96863</v>
      </c>
      <c r="AA431" s="61">
        <v>1646</v>
      </c>
      <c r="AB431" s="64">
        <v>1564</v>
      </c>
      <c r="AC431" s="61">
        <f t="shared" si="19"/>
        <v>210371968</v>
      </c>
      <c r="AD431" s="66">
        <f t="shared" si="19"/>
        <v>151493732</v>
      </c>
    </row>
    <row r="432" spans="23:30" ht="15.75" customHeight="1" x14ac:dyDescent="0.25">
      <c r="W432" s="65" t="s">
        <v>484</v>
      </c>
      <c r="X432" s="47">
        <v>2022</v>
      </c>
      <c r="Y432" s="61">
        <v>135040</v>
      </c>
      <c r="Z432" s="61">
        <v>123709</v>
      </c>
      <c r="AA432" s="61">
        <v>1895</v>
      </c>
      <c r="AB432" s="64">
        <v>1665</v>
      </c>
      <c r="AC432" s="61">
        <f t="shared" si="19"/>
        <v>255900800</v>
      </c>
      <c r="AD432" s="66">
        <f t="shared" si="19"/>
        <v>205975485</v>
      </c>
    </row>
    <row r="433" spans="23:30" ht="15.75" customHeight="1" x14ac:dyDescent="0.25">
      <c r="W433" s="65" t="s">
        <v>484</v>
      </c>
      <c r="X433" s="47">
        <v>2023</v>
      </c>
      <c r="Y433" s="61">
        <v>149325</v>
      </c>
      <c r="Z433" s="61">
        <v>117420</v>
      </c>
      <c r="AA433" s="61">
        <v>1619</v>
      </c>
      <c r="AB433" s="64">
        <v>1155</v>
      </c>
      <c r="AC433" s="61">
        <f t="shared" si="19"/>
        <v>241757175</v>
      </c>
      <c r="AD433" s="66">
        <f t="shared" si="19"/>
        <v>135620100</v>
      </c>
    </row>
    <row r="434" spans="23:30" ht="15.75" customHeight="1" x14ac:dyDescent="0.25">
      <c r="W434" s="65" t="s">
        <v>484</v>
      </c>
      <c r="X434" s="47">
        <v>2024</v>
      </c>
      <c r="Y434" s="61">
        <v>67134</v>
      </c>
      <c r="Z434" s="61">
        <v>122909</v>
      </c>
      <c r="AA434" s="61">
        <v>1508</v>
      </c>
      <c r="AB434" s="64">
        <v>1140</v>
      </c>
      <c r="AC434" s="61">
        <f t="shared" si="19"/>
        <v>101238072</v>
      </c>
      <c r="AD434" s="66">
        <f t="shared" si="19"/>
        <v>140116260</v>
      </c>
    </row>
    <row r="435" spans="23:30" ht="15.75" customHeight="1" x14ac:dyDescent="0.25">
      <c r="W435" s="65" t="s">
        <v>195</v>
      </c>
      <c r="X435" s="47">
        <v>2021</v>
      </c>
      <c r="Y435" s="61">
        <v>367</v>
      </c>
      <c r="Z435" s="61">
        <v>14319</v>
      </c>
      <c r="AA435" s="61">
        <v>3672</v>
      </c>
      <c r="AB435" s="61">
        <v>1385</v>
      </c>
      <c r="AC435" s="61">
        <f t="shared" si="19"/>
        <v>1347624</v>
      </c>
      <c r="AD435" s="66">
        <f t="shared" si="19"/>
        <v>19831815</v>
      </c>
    </row>
    <row r="436" spans="23:30" ht="15.75" customHeight="1" x14ac:dyDescent="0.25">
      <c r="W436" s="65" t="s">
        <v>195</v>
      </c>
      <c r="X436" s="47">
        <v>2022</v>
      </c>
      <c r="Y436" s="61">
        <v>189</v>
      </c>
      <c r="Z436" s="61">
        <v>11406</v>
      </c>
      <c r="AA436" s="61">
        <v>3941</v>
      </c>
      <c r="AB436" s="61">
        <v>1876</v>
      </c>
      <c r="AC436" s="61">
        <f t="shared" si="19"/>
        <v>744849</v>
      </c>
      <c r="AD436" s="66">
        <f t="shared" si="19"/>
        <v>21397656</v>
      </c>
    </row>
    <row r="437" spans="23:30" ht="15.75" customHeight="1" x14ac:dyDescent="0.25">
      <c r="W437" s="65" t="s">
        <v>195</v>
      </c>
      <c r="X437" s="47">
        <v>2023</v>
      </c>
      <c r="Y437" s="61">
        <v>193</v>
      </c>
      <c r="Z437" s="61">
        <v>14474</v>
      </c>
      <c r="AA437" s="61">
        <v>3995</v>
      </c>
      <c r="AB437" s="61">
        <v>1468</v>
      </c>
      <c r="AC437" s="61">
        <f t="shared" si="19"/>
        <v>771035</v>
      </c>
      <c r="AD437" s="66">
        <f t="shared" si="19"/>
        <v>21247832</v>
      </c>
    </row>
    <row r="438" spans="23:30" ht="15.75" customHeight="1" x14ac:dyDescent="0.25">
      <c r="W438" s="65" t="s">
        <v>195</v>
      </c>
      <c r="X438" s="47">
        <v>2024</v>
      </c>
      <c r="Y438" s="61">
        <v>117</v>
      </c>
      <c r="Z438" s="61">
        <v>13327</v>
      </c>
      <c r="AA438" s="61">
        <v>4172</v>
      </c>
      <c r="AB438" s="61">
        <v>1476</v>
      </c>
      <c r="AC438" s="61">
        <f t="shared" si="19"/>
        <v>488124</v>
      </c>
      <c r="AD438" s="66">
        <f t="shared" si="19"/>
        <v>19670652</v>
      </c>
    </row>
    <row r="439" spans="23:30" ht="15.75" customHeight="1" x14ac:dyDescent="0.25">
      <c r="W439" s="65" t="s">
        <v>485</v>
      </c>
      <c r="X439" s="47">
        <v>2021</v>
      </c>
      <c r="Y439" s="61">
        <v>31452</v>
      </c>
      <c r="Z439" s="61">
        <v>2920</v>
      </c>
      <c r="AA439" s="61">
        <v>2623</v>
      </c>
      <c r="AB439" s="61">
        <v>2578</v>
      </c>
      <c r="AC439" s="61">
        <f t="shared" si="19"/>
        <v>82498596</v>
      </c>
      <c r="AD439" s="66">
        <f t="shared" si="19"/>
        <v>7527760</v>
      </c>
    </row>
    <row r="440" spans="23:30" ht="15.75" customHeight="1" x14ac:dyDescent="0.25">
      <c r="W440" s="65" t="s">
        <v>485</v>
      </c>
      <c r="X440" s="47">
        <v>2022</v>
      </c>
      <c r="Y440" s="61">
        <v>38430</v>
      </c>
      <c r="Z440" s="61">
        <v>2262</v>
      </c>
      <c r="AA440" s="61">
        <v>2698</v>
      </c>
      <c r="AB440" s="61">
        <v>2851</v>
      </c>
      <c r="AC440" s="61">
        <f t="shared" si="19"/>
        <v>103684140</v>
      </c>
      <c r="AD440" s="66">
        <f t="shared" si="19"/>
        <v>6448962</v>
      </c>
    </row>
    <row r="441" spans="23:30" ht="15.75" customHeight="1" x14ac:dyDescent="0.25">
      <c r="W441" s="65" t="s">
        <v>485</v>
      </c>
      <c r="X441" s="47">
        <v>2023</v>
      </c>
      <c r="Y441" s="61">
        <v>29230</v>
      </c>
      <c r="Z441" s="61">
        <v>1294</v>
      </c>
      <c r="AA441" s="61">
        <v>2355</v>
      </c>
      <c r="AB441" s="61">
        <v>2340</v>
      </c>
      <c r="AC441" s="61">
        <f t="shared" si="19"/>
        <v>68836650</v>
      </c>
      <c r="AD441" s="66">
        <f t="shared" si="19"/>
        <v>3027960</v>
      </c>
    </row>
    <row r="442" spans="23:30" ht="15.75" customHeight="1" x14ac:dyDescent="0.25">
      <c r="W442" s="65" t="s">
        <v>485</v>
      </c>
      <c r="X442" s="47">
        <v>2024</v>
      </c>
      <c r="Y442" s="61">
        <v>32934</v>
      </c>
      <c r="Z442" s="61">
        <v>2182</v>
      </c>
      <c r="AA442" s="61">
        <v>2273</v>
      </c>
      <c r="AB442" s="61">
        <v>2910</v>
      </c>
      <c r="AC442" s="61">
        <f t="shared" si="19"/>
        <v>74858982</v>
      </c>
      <c r="AD442" s="66">
        <f t="shared" si="19"/>
        <v>6349620</v>
      </c>
    </row>
    <row r="443" spans="23:30" ht="15.75" customHeight="1" x14ac:dyDescent="0.25">
      <c r="W443" s="65" t="s">
        <v>201</v>
      </c>
      <c r="X443" s="47">
        <v>2021</v>
      </c>
      <c r="Y443" s="61">
        <v>154797</v>
      </c>
      <c r="Z443" s="61">
        <v>70756</v>
      </c>
      <c r="AA443" s="61">
        <v>1874</v>
      </c>
      <c r="AB443" s="61">
        <v>1489</v>
      </c>
      <c r="AC443" s="61">
        <f t="shared" si="19"/>
        <v>290089578</v>
      </c>
      <c r="AD443" s="66">
        <f t="shared" si="19"/>
        <v>105355684</v>
      </c>
    </row>
    <row r="444" spans="23:30" ht="15.75" customHeight="1" x14ac:dyDescent="0.25">
      <c r="W444" s="65" t="s">
        <v>201</v>
      </c>
      <c r="X444" s="47">
        <v>2022</v>
      </c>
      <c r="Y444" s="61">
        <v>129994</v>
      </c>
      <c r="Z444" s="61">
        <v>77605</v>
      </c>
      <c r="AA444" s="61">
        <v>1922</v>
      </c>
      <c r="AB444" s="61">
        <v>1433</v>
      </c>
      <c r="AC444" s="61">
        <f t="shared" si="19"/>
        <v>249848468</v>
      </c>
      <c r="AD444" s="66">
        <f t="shared" si="19"/>
        <v>111207965</v>
      </c>
    </row>
    <row r="445" spans="23:30" ht="15.75" customHeight="1" x14ac:dyDescent="0.25">
      <c r="W445" s="65" t="s">
        <v>201</v>
      </c>
      <c r="X445" s="47">
        <v>2023</v>
      </c>
      <c r="Y445" s="61">
        <v>96020</v>
      </c>
      <c r="Z445" s="61">
        <v>45661</v>
      </c>
      <c r="AA445" s="61">
        <v>1711</v>
      </c>
      <c r="AB445" s="61">
        <v>1128</v>
      </c>
      <c r="AC445" s="61">
        <f t="shared" si="19"/>
        <v>164290220</v>
      </c>
      <c r="AD445" s="66">
        <f t="shared" si="19"/>
        <v>51505608</v>
      </c>
    </row>
    <row r="446" spans="23:30" ht="15.75" customHeight="1" x14ac:dyDescent="0.25">
      <c r="W446" s="65" t="s">
        <v>201</v>
      </c>
      <c r="X446" s="47">
        <v>2024</v>
      </c>
      <c r="Y446" s="61">
        <v>82718</v>
      </c>
      <c r="Z446" s="61">
        <v>122475</v>
      </c>
      <c r="AA446" s="61">
        <v>1632</v>
      </c>
      <c r="AB446" s="61">
        <v>1110</v>
      </c>
      <c r="AC446" s="61">
        <f t="shared" si="19"/>
        <v>134995776</v>
      </c>
      <c r="AD446" s="66">
        <f t="shared" si="19"/>
        <v>135947250</v>
      </c>
    </row>
    <row r="447" spans="23:30" ht="15.75" customHeight="1" x14ac:dyDescent="0.25">
      <c r="W447" s="65" t="s">
        <v>486</v>
      </c>
      <c r="X447" s="47">
        <v>2021</v>
      </c>
      <c r="Y447" s="61">
        <v>62297</v>
      </c>
      <c r="Z447" s="61">
        <v>12573</v>
      </c>
      <c r="AA447" s="61">
        <v>1252</v>
      </c>
      <c r="AB447" s="61">
        <v>1325</v>
      </c>
      <c r="AC447" s="61">
        <f t="shared" si="19"/>
        <v>77995844</v>
      </c>
      <c r="AD447" s="66">
        <f t="shared" si="19"/>
        <v>16659225</v>
      </c>
    </row>
    <row r="448" spans="23:30" ht="15.75" customHeight="1" x14ac:dyDescent="0.25">
      <c r="W448" s="65" t="s">
        <v>486</v>
      </c>
      <c r="X448" s="47">
        <v>2022</v>
      </c>
      <c r="Y448" s="61">
        <v>73420</v>
      </c>
      <c r="Z448" s="61">
        <v>11033</v>
      </c>
      <c r="AA448" s="61">
        <v>1742</v>
      </c>
      <c r="AB448" s="61">
        <v>1620</v>
      </c>
      <c r="AC448" s="61">
        <f t="shared" ref="AC448:AD511" si="20">Y448*AA448</f>
        <v>127897640</v>
      </c>
      <c r="AD448" s="66">
        <f t="shared" si="20"/>
        <v>17873460</v>
      </c>
    </row>
    <row r="449" spans="23:30" ht="15.75" customHeight="1" x14ac:dyDescent="0.25">
      <c r="W449" s="65" t="s">
        <v>486</v>
      </c>
      <c r="X449" s="47">
        <v>2023</v>
      </c>
      <c r="Y449" s="61">
        <v>54476</v>
      </c>
      <c r="Z449" s="61">
        <v>8781</v>
      </c>
      <c r="AA449" s="61">
        <v>1542</v>
      </c>
      <c r="AB449" s="61">
        <v>1380</v>
      </c>
      <c r="AC449" s="61">
        <f t="shared" si="20"/>
        <v>84001992</v>
      </c>
      <c r="AD449" s="66">
        <f t="shared" si="20"/>
        <v>12117780</v>
      </c>
    </row>
    <row r="450" spans="23:30" ht="15.75" customHeight="1" x14ac:dyDescent="0.25">
      <c r="W450" s="65" t="s">
        <v>486</v>
      </c>
      <c r="X450" s="47">
        <v>2024</v>
      </c>
      <c r="Y450" s="61">
        <v>93154</v>
      </c>
      <c r="Z450" s="61">
        <v>14013</v>
      </c>
      <c r="AA450" s="61">
        <v>1382</v>
      </c>
      <c r="AB450" s="61">
        <v>1363</v>
      </c>
      <c r="AC450" s="61">
        <f t="shared" si="20"/>
        <v>128738828</v>
      </c>
      <c r="AD450" s="66">
        <f t="shared" si="20"/>
        <v>19099719</v>
      </c>
    </row>
    <row r="451" spans="23:30" ht="15.75" customHeight="1" x14ac:dyDescent="0.25">
      <c r="W451" s="65" t="s">
        <v>487</v>
      </c>
      <c r="X451" s="47">
        <v>2021</v>
      </c>
      <c r="Y451" s="61"/>
      <c r="Z451" s="61"/>
      <c r="AA451" s="61"/>
      <c r="AB451" s="61"/>
      <c r="AC451" s="61">
        <f t="shared" si="20"/>
        <v>0</v>
      </c>
      <c r="AD451" s="66">
        <f t="shared" si="20"/>
        <v>0</v>
      </c>
    </row>
    <row r="452" spans="23:30" ht="15.75" customHeight="1" x14ac:dyDescent="0.25">
      <c r="W452" s="65" t="s">
        <v>487</v>
      </c>
      <c r="X452" s="47">
        <v>2022</v>
      </c>
      <c r="Y452" s="61"/>
      <c r="Z452" s="61"/>
      <c r="AA452" s="61"/>
      <c r="AB452" s="61"/>
      <c r="AC452" s="61">
        <f t="shared" si="20"/>
        <v>0</v>
      </c>
      <c r="AD452" s="66">
        <f t="shared" si="20"/>
        <v>0</v>
      </c>
    </row>
    <row r="453" spans="23:30" ht="15.75" customHeight="1" x14ac:dyDescent="0.25">
      <c r="W453" s="65" t="s">
        <v>487</v>
      </c>
      <c r="X453" s="47">
        <v>2023</v>
      </c>
      <c r="Y453" s="61"/>
      <c r="Z453" s="61"/>
      <c r="AA453" s="61"/>
      <c r="AB453" s="61"/>
      <c r="AC453" s="61">
        <f t="shared" si="20"/>
        <v>0</v>
      </c>
      <c r="AD453" s="66">
        <f t="shared" si="20"/>
        <v>0</v>
      </c>
    </row>
    <row r="454" spans="23:30" ht="15.75" customHeight="1" x14ac:dyDescent="0.25">
      <c r="W454" s="65" t="s">
        <v>487</v>
      </c>
      <c r="X454" s="47">
        <v>2024</v>
      </c>
      <c r="Y454" s="61"/>
      <c r="Z454" s="61"/>
      <c r="AA454" s="61"/>
      <c r="AB454" s="61"/>
      <c r="AC454" s="61">
        <f t="shared" si="20"/>
        <v>0</v>
      </c>
      <c r="AD454" s="66">
        <f t="shared" si="20"/>
        <v>0</v>
      </c>
    </row>
    <row r="455" spans="23:30" ht="15.75" customHeight="1" x14ac:dyDescent="0.25">
      <c r="W455" s="65" t="s">
        <v>215</v>
      </c>
      <c r="X455" s="47">
        <v>2021</v>
      </c>
      <c r="Y455" s="61">
        <v>12691</v>
      </c>
      <c r="Z455" s="61">
        <v>227</v>
      </c>
      <c r="AA455" s="61">
        <v>2143</v>
      </c>
      <c r="AB455" s="61"/>
      <c r="AC455" s="61">
        <f t="shared" si="20"/>
        <v>27196813</v>
      </c>
      <c r="AD455" s="66">
        <f t="shared" si="20"/>
        <v>0</v>
      </c>
    </row>
    <row r="456" spans="23:30" ht="15.75" customHeight="1" x14ac:dyDescent="0.25">
      <c r="W456" s="65" t="s">
        <v>215</v>
      </c>
      <c r="X456" s="47">
        <v>2022</v>
      </c>
      <c r="Y456" s="61">
        <v>15282</v>
      </c>
      <c r="Z456" s="61">
        <v>45</v>
      </c>
      <c r="AA456" s="61">
        <v>2602</v>
      </c>
      <c r="AB456" s="61"/>
      <c r="AC456" s="61">
        <f t="shared" si="20"/>
        <v>39763764</v>
      </c>
      <c r="AD456" s="66">
        <f t="shared" si="20"/>
        <v>0</v>
      </c>
    </row>
    <row r="457" spans="23:30" ht="15.75" customHeight="1" x14ac:dyDescent="0.25">
      <c r="W457" s="65" t="s">
        <v>215</v>
      </c>
      <c r="X457" s="47">
        <v>2023</v>
      </c>
      <c r="Y457" s="61">
        <v>13376</v>
      </c>
      <c r="Z457" s="61">
        <v>36</v>
      </c>
      <c r="AA457" s="61">
        <v>2161</v>
      </c>
      <c r="AB457" s="61"/>
      <c r="AC457" s="61">
        <f t="shared" si="20"/>
        <v>28905536</v>
      </c>
      <c r="AD457" s="66">
        <f t="shared" si="20"/>
        <v>0</v>
      </c>
    </row>
    <row r="458" spans="23:30" ht="15.75" customHeight="1" x14ac:dyDescent="0.25">
      <c r="W458" s="65" t="s">
        <v>215</v>
      </c>
      <c r="X458" s="47">
        <v>2024</v>
      </c>
      <c r="Y458" s="61">
        <v>10935</v>
      </c>
      <c r="Z458" s="61">
        <v>6</v>
      </c>
      <c r="AA458" s="61">
        <v>2154</v>
      </c>
      <c r="AB458" s="61"/>
      <c r="AC458" s="61">
        <f t="shared" si="20"/>
        <v>23553990</v>
      </c>
      <c r="AD458" s="66">
        <f t="shared" si="20"/>
        <v>0</v>
      </c>
    </row>
    <row r="459" spans="23:30" ht="15.75" customHeight="1" x14ac:dyDescent="0.25">
      <c r="W459" s="65" t="s">
        <v>488</v>
      </c>
      <c r="X459" s="47">
        <v>2021</v>
      </c>
      <c r="Y459" s="61">
        <v>2003</v>
      </c>
      <c r="Z459" s="61">
        <v>7</v>
      </c>
      <c r="AA459" s="61">
        <v>2309</v>
      </c>
      <c r="AB459" s="61"/>
      <c r="AC459" s="61">
        <f t="shared" si="20"/>
        <v>4624927</v>
      </c>
      <c r="AD459" s="66">
        <f t="shared" si="20"/>
        <v>0</v>
      </c>
    </row>
    <row r="460" spans="23:30" ht="15.75" customHeight="1" x14ac:dyDescent="0.25">
      <c r="W460" s="65" t="s">
        <v>488</v>
      </c>
      <c r="X460" s="47">
        <v>2022</v>
      </c>
      <c r="Y460" s="61">
        <v>2526</v>
      </c>
      <c r="Z460" s="61">
        <v>20</v>
      </c>
      <c r="AA460" s="61">
        <v>2550</v>
      </c>
      <c r="AB460" s="61"/>
      <c r="AC460" s="61">
        <f t="shared" si="20"/>
        <v>6441300</v>
      </c>
      <c r="AD460" s="66">
        <f t="shared" si="20"/>
        <v>0</v>
      </c>
    </row>
    <row r="461" spans="23:30" ht="15.75" customHeight="1" x14ac:dyDescent="0.25">
      <c r="W461" s="65" t="s">
        <v>488</v>
      </c>
      <c r="X461" s="47">
        <v>2023</v>
      </c>
      <c r="Y461" s="61">
        <v>1837</v>
      </c>
      <c r="Z461" s="61">
        <v>14</v>
      </c>
      <c r="AA461" s="61">
        <v>2579</v>
      </c>
      <c r="AB461" s="61"/>
      <c r="AC461" s="61">
        <f t="shared" si="20"/>
        <v>4737623</v>
      </c>
      <c r="AD461" s="66">
        <f t="shared" si="20"/>
        <v>0</v>
      </c>
    </row>
    <row r="462" spans="23:30" ht="15.75" customHeight="1" x14ac:dyDescent="0.25">
      <c r="W462" s="65" t="s">
        <v>488</v>
      </c>
      <c r="X462" s="47">
        <v>2024</v>
      </c>
      <c r="Y462" s="61">
        <v>1439</v>
      </c>
      <c r="Z462" s="61">
        <v>75</v>
      </c>
      <c r="AA462" s="61">
        <v>2724</v>
      </c>
      <c r="AB462" s="61"/>
      <c r="AC462" s="61">
        <f t="shared" si="20"/>
        <v>3919836</v>
      </c>
      <c r="AD462" s="66">
        <f t="shared" si="20"/>
        <v>0</v>
      </c>
    </row>
    <row r="463" spans="23:30" ht="15.75" customHeight="1" x14ac:dyDescent="0.25">
      <c r="W463" s="65" t="s">
        <v>489</v>
      </c>
      <c r="X463" s="47">
        <v>2021</v>
      </c>
      <c r="Y463" s="61">
        <v>10427</v>
      </c>
      <c r="Z463" s="61">
        <v>172</v>
      </c>
      <c r="AA463" s="61">
        <v>2471</v>
      </c>
      <c r="AB463" s="61"/>
      <c r="AC463" s="61">
        <f t="shared" si="20"/>
        <v>25765117</v>
      </c>
      <c r="AD463" s="66">
        <f t="shared" si="20"/>
        <v>0</v>
      </c>
    </row>
    <row r="464" spans="23:30" ht="15.75" customHeight="1" x14ac:dyDescent="0.25">
      <c r="W464" s="65" t="s">
        <v>489</v>
      </c>
      <c r="X464" s="47">
        <v>2022</v>
      </c>
      <c r="Y464" s="61">
        <v>10192</v>
      </c>
      <c r="Z464" s="61">
        <v>83</v>
      </c>
      <c r="AA464" s="61">
        <v>3153</v>
      </c>
      <c r="AB464" s="61"/>
      <c r="AC464" s="61">
        <f t="shared" si="20"/>
        <v>32135376</v>
      </c>
      <c r="AD464" s="66">
        <f t="shared" si="20"/>
        <v>0</v>
      </c>
    </row>
    <row r="465" spans="23:30" ht="15.75" customHeight="1" x14ac:dyDescent="0.25">
      <c r="W465" s="65" t="s">
        <v>489</v>
      </c>
      <c r="X465" s="47">
        <v>2023</v>
      </c>
      <c r="Y465" s="61">
        <v>8338</v>
      </c>
      <c r="Z465" s="61">
        <v>196</v>
      </c>
      <c r="AA465" s="61">
        <v>2920</v>
      </c>
      <c r="AB465" s="61"/>
      <c r="AC465" s="61">
        <f t="shared" si="20"/>
        <v>24346960</v>
      </c>
      <c r="AD465" s="66">
        <f t="shared" si="20"/>
        <v>0</v>
      </c>
    </row>
    <row r="466" spans="23:30" ht="15.75" customHeight="1" x14ac:dyDescent="0.25">
      <c r="W466" s="65" t="s">
        <v>489</v>
      </c>
      <c r="X466" s="47">
        <v>2024</v>
      </c>
      <c r="Y466" s="61">
        <v>8028</v>
      </c>
      <c r="Z466" s="61">
        <v>20</v>
      </c>
      <c r="AA466" s="61">
        <v>3144</v>
      </c>
      <c r="AB466" s="61"/>
      <c r="AC466" s="61">
        <f t="shared" si="20"/>
        <v>25240032</v>
      </c>
      <c r="AD466" s="66">
        <f t="shared" si="20"/>
        <v>0</v>
      </c>
    </row>
    <row r="467" spans="23:30" ht="15.75" customHeight="1" x14ac:dyDescent="0.25">
      <c r="W467" s="65" t="s">
        <v>490</v>
      </c>
      <c r="X467" s="47">
        <v>2021</v>
      </c>
      <c r="Y467" s="61">
        <v>241</v>
      </c>
      <c r="Z467" s="61"/>
      <c r="AA467" s="61">
        <v>10731</v>
      </c>
      <c r="AB467" s="61"/>
      <c r="AC467" s="61">
        <f t="shared" si="20"/>
        <v>2586171</v>
      </c>
      <c r="AD467" s="66">
        <f t="shared" si="20"/>
        <v>0</v>
      </c>
    </row>
    <row r="468" spans="23:30" ht="15.75" customHeight="1" x14ac:dyDescent="0.25">
      <c r="W468" s="65" t="s">
        <v>490</v>
      </c>
      <c r="X468" s="47">
        <v>2022</v>
      </c>
      <c r="Y468" s="61">
        <v>173</v>
      </c>
      <c r="Z468" s="61"/>
      <c r="AA468" s="61">
        <v>11311</v>
      </c>
      <c r="AB468" s="61"/>
      <c r="AC468" s="61">
        <f t="shared" si="20"/>
        <v>1956803</v>
      </c>
      <c r="AD468" s="66">
        <f t="shared" si="20"/>
        <v>0</v>
      </c>
    </row>
    <row r="469" spans="23:30" ht="15.75" customHeight="1" x14ac:dyDescent="0.25">
      <c r="W469" s="65" t="s">
        <v>490</v>
      </c>
      <c r="X469" s="47">
        <v>2023</v>
      </c>
      <c r="Y469" s="61">
        <v>163</v>
      </c>
      <c r="Z469" s="61"/>
      <c r="AA469" s="61">
        <v>10715</v>
      </c>
      <c r="AB469" s="61"/>
      <c r="AC469" s="61">
        <f t="shared" si="20"/>
        <v>1746545</v>
      </c>
      <c r="AD469" s="66">
        <f t="shared" si="20"/>
        <v>0</v>
      </c>
    </row>
    <row r="470" spans="23:30" ht="15.75" customHeight="1" x14ac:dyDescent="0.25">
      <c r="W470" s="65" t="s">
        <v>490</v>
      </c>
      <c r="X470" s="47">
        <v>2024</v>
      </c>
      <c r="Y470" s="61">
        <v>129</v>
      </c>
      <c r="Z470" s="61"/>
      <c r="AA470" s="61">
        <v>8356</v>
      </c>
      <c r="AB470" s="61"/>
      <c r="AC470" s="61">
        <f t="shared" si="20"/>
        <v>1077924</v>
      </c>
      <c r="AD470" s="66">
        <f t="shared" si="20"/>
        <v>0</v>
      </c>
    </row>
    <row r="471" spans="23:30" ht="15.75" customHeight="1" x14ac:dyDescent="0.25">
      <c r="W471" s="65" t="s">
        <v>210</v>
      </c>
      <c r="X471" s="47">
        <v>2021</v>
      </c>
      <c r="Y471" s="61">
        <v>1941</v>
      </c>
      <c r="Z471" s="61"/>
      <c r="AA471" s="61">
        <v>2027</v>
      </c>
      <c r="AB471" s="61"/>
      <c r="AC471" s="61">
        <f t="shared" si="20"/>
        <v>3934407</v>
      </c>
      <c r="AD471" s="66">
        <f t="shared" si="20"/>
        <v>0</v>
      </c>
    </row>
    <row r="472" spans="23:30" ht="15.75" customHeight="1" x14ac:dyDescent="0.25">
      <c r="W472" s="65" t="s">
        <v>210</v>
      </c>
      <c r="X472" s="47">
        <v>2022</v>
      </c>
      <c r="Y472" s="61">
        <v>1261</v>
      </c>
      <c r="Z472" s="61"/>
      <c r="AA472" s="61">
        <v>2402</v>
      </c>
      <c r="AB472" s="61"/>
      <c r="AC472" s="61">
        <f t="shared" si="20"/>
        <v>3028922</v>
      </c>
      <c r="AD472" s="66">
        <f t="shared" si="20"/>
        <v>0</v>
      </c>
    </row>
    <row r="473" spans="23:30" ht="15.75" customHeight="1" x14ac:dyDescent="0.25">
      <c r="W473" s="65" t="s">
        <v>210</v>
      </c>
      <c r="X473" s="47">
        <v>2023</v>
      </c>
      <c r="Y473" s="61">
        <v>986</v>
      </c>
      <c r="Z473" s="61">
        <v>59</v>
      </c>
      <c r="AA473" s="61">
        <v>2180</v>
      </c>
      <c r="AB473" s="61"/>
      <c r="AC473" s="61">
        <f t="shared" si="20"/>
        <v>2149480</v>
      </c>
      <c r="AD473" s="66">
        <f t="shared" si="20"/>
        <v>0</v>
      </c>
    </row>
    <row r="474" spans="23:30" ht="15.75" customHeight="1" x14ac:dyDescent="0.25">
      <c r="W474" s="65" t="s">
        <v>210</v>
      </c>
      <c r="X474" s="47">
        <v>2024</v>
      </c>
      <c r="Y474" s="61">
        <v>325</v>
      </c>
      <c r="Z474" s="61"/>
      <c r="AA474" s="61">
        <v>3425</v>
      </c>
      <c r="AB474" s="61"/>
      <c r="AC474" s="61">
        <f t="shared" si="20"/>
        <v>1113125</v>
      </c>
      <c r="AD474" s="66">
        <f t="shared" si="20"/>
        <v>0</v>
      </c>
    </row>
    <row r="475" spans="23:30" ht="15.75" customHeight="1" x14ac:dyDescent="0.25">
      <c r="W475" s="65" t="s">
        <v>491</v>
      </c>
      <c r="X475" s="47">
        <v>2021</v>
      </c>
      <c r="Y475" s="61"/>
      <c r="Z475" s="61">
        <v>1485</v>
      </c>
      <c r="AA475" s="61"/>
      <c r="AB475" s="61">
        <v>817</v>
      </c>
      <c r="AC475" s="61">
        <f t="shared" si="20"/>
        <v>0</v>
      </c>
      <c r="AD475" s="66">
        <f t="shared" si="20"/>
        <v>1213245</v>
      </c>
    </row>
    <row r="476" spans="23:30" ht="15.75" customHeight="1" x14ac:dyDescent="0.25">
      <c r="W476" s="65" t="s">
        <v>491</v>
      </c>
      <c r="X476" s="47">
        <v>2022</v>
      </c>
      <c r="Y476" s="61"/>
      <c r="Z476" s="61">
        <v>2314</v>
      </c>
      <c r="AA476" s="61"/>
      <c r="AB476" s="61">
        <v>1429</v>
      </c>
      <c r="AC476" s="61">
        <f t="shared" si="20"/>
        <v>0</v>
      </c>
      <c r="AD476" s="66">
        <f t="shared" si="20"/>
        <v>3306706</v>
      </c>
    </row>
    <row r="477" spans="23:30" ht="15.75" customHeight="1" x14ac:dyDescent="0.25">
      <c r="W477" s="65" t="s">
        <v>491</v>
      </c>
      <c r="X477" s="47">
        <v>2023</v>
      </c>
      <c r="Y477" s="61"/>
      <c r="Z477" s="61">
        <v>2593</v>
      </c>
      <c r="AA477" s="61"/>
      <c r="AB477" s="61">
        <v>1171</v>
      </c>
      <c r="AC477" s="61">
        <f t="shared" si="20"/>
        <v>0</v>
      </c>
      <c r="AD477" s="66">
        <f t="shared" si="20"/>
        <v>3036403</v>
      </c>
    </row>
    <row r="478" spans="23:30" ht="15.75" customHeight="1" x14ac:dyDescent="0.25">
      <c r="W478" s="65" t="s">
        <v>491</v>
      </c>
      <c r="X478" s="47">
        <v>2024</v>
      </c>
      <c r="Y478" s="61"/>
      <c r="Z478" s="61">
        <v>5241</v>
      </c>
      <c r="AA478" s="61"/>
      <c r="AB478" s="61">
        <v>1156</v>
      </c>
      <c r="AC478" s="61">
        <f t="shared" si="20"/>
        <v>0</v>
      </c>
      <c r="AD478" s="66">
        <f t="shared" si="20"/>
        <v>6058596</v>
      </c>
    </row>
    <row r="479" spans="23:30" ht="15.75" customHeight="1" x14ac:dyDescent="0.25">
      <c r="W479" s="65" t="s">
        <v>492</v>
      </c>
      <c r="X479" s="47">
        <v>2021</v>
      </c>
      <c r="Y479" s="61">
        <v>48482</v>
      </c>
      <c r="Z479" s="61">
        <v>121</v>
      </c>
      <c r="AA479" s="61">
        <v>277</v>
      </c>
      <c r="AB479" s="61"/>
      <c r="AC479" s="61">
        <f t="shared" si="20"/>
        <v>13429514</v>
      </c>
      <c r="AD479" s="66">
        <f t="shared" si="20"/>
        <v>0</v>
      </c>
    </row>
    <row r="480" spans="23:30" ht="15.75" customHeight="1" x14ac:dyDescent="0.25">
      <c r="W480" s="65" t="s">
        <v>492</v>
      </c>
      <c r="X480" s="47">
        <v>2022</v>
      </c>
      <c r="Y480" s="61">
        <v>60205</v>
      </c>
      <c r="Z480" s="61">
        <v>28</v>
      </c>
      <c r="AA480" s="61">
        <v>497</v>
      </c>
      <c r="AB480" s="61"/>
      <c r="AC480" s="61">
        <f t="shared" si="20"/>
        <v>29921885</v>
      </c>
      <c r="AD480" s="66">
        <f t="shared" si="20"/>
        <v>0</v>
      </c>
    </row>
    <row r="481" spans="23:30" ht="15.75" customHeight="1" x14ac:dyDescent="0.25">
      <c r="W481" s="65" t="s">
        <v>492</v>
      </c>
      <c r="X481" s="47">
        <v>2023</v>
      </c>
      <c r="Y481" s="61">
        <v>28756</v>
      </c>
      <c r="Z481" s="61">
        <v>30</v>
      </c>
      <c r="AA481" s="61">
        <v>324</v>
      </c>
      <c r="AB481" s="61"/>
      <c r="AC481" s="61">
        <f t="shared" si="20"/>
        <v>9316944</v>
      </c>
      <c r="AD481" s="66">
        <f t="shared" si="20"/>
        <v>0</v>
      </c>
    </row>
    <row r="482" spans="23:30" ht="15.75" customHeight="1" x14ac:dyDescent="0.25">
      <c r="W482" s="65" t="s">
        <v>492</v>
      </c>
      <c r="X482" s="47">
        <v>2024</v>
      </c>
      <c r="Y482" s="61">
        <v>42820</v>
      </c>
      <c r="Z482" s="61">
        <v>8</v>
      </c>
      <c r="AA482" s="61">
        <v>263</v>
      </c>
      <c r="AB482" s="61"/>
      <c r="AC482" s="61">
        <f t="shared" si="20"/>
        <v>11261660</v>
      </c>
      <c r="AD482" s="66">
        <f t="shared" si="20"/>
        <v>0</v>
      </c>
    </row>
    <row r="483" spans="23:30" ht="15.75" customHeight="1" x14ac:dyDescent="0.25">
      <c r="W483" s="65" t="s">
        <v>493</v>
      </c>
      <c r="X483" s="47">
        <v>2021</v>
      </c>
      <c r="Y483" s="61"/>
      <c r="Z483" s="61">
        <v>9386</v>
      </c>
      <c r="AA483" s="61"/>
      <c r="AB483" s="63"/>
      <c r="AC483" s="61">
        <f t="shared" si="20"/>
        <v>0</v>
      </c>
      <c r="AD483" s="66">
        <f t="shared" si="20"/>
        <v>0</v>
      </c>
    </row>
    <row r="484" spans="23:30" ht="15.75" customHeight="1" x14ac:dyDescent="0.25">
      <c r="W484" s="65" t="s">
        <v>493</v>
      </c>
      <c r="X484" s="47">
        <v>2022</v>
      </c>
      <c r="Y484" s="61"/>
      <c r="Z484" s="61">
        <v>10063</v>
      </c>
      <c r="AA484" s="61"/>
      <c r="AB484" s="63"/>
      <c r="AC484" s="61">
        <f t="shared" si="20"/>
        <v>0</v>
      </c>
      <c r="AD484" s="66">
        <f t="shared" si="20"/>
        <v>0</v>
      </c>
    </row>
    <row r="485" spans="23:30" ht="15.75" customHeight="1" x14ac:dyDescent="0.25">
      <c r="W485" s="65" t="s">
        <v>493</v>
      </c>
      <c r="X485" s="47">
        <v>2023</v>
      </c>
      <c r="Y485" s="61"/>
      <c r="Z485" s="61">
        <v>4471</v>
      </c>
      <c r="AA485" s="61"/>
      <c r="AB485" s="63"/>
      <c r="AC485" s="61">
        <f t="shared" si="20"/>
        <v>0</v>
      </c>
      <c r="AD485" s="66">
        <f t="shared" si="20"/>
        <v>0</v>
      </c>
    </row>
    <row r="486" spans="23:30" ht="15.75" customHeight="1" x14ac:dyDescent="0.25">
      <c r="W486" s="65" t="s">
        <v>493</v>
      </c>
      <c r="X486" s="47">
        <v>2024</v>
      </c>
      <c r="Y486" s="61"/>
      <c r="Z486" s="61">
        <v>3511</v>
      </c>
      <c r="AA486" s="61"/>
      <c r="AB486" s="64"/>
      <c r="AC486" s="61">
        <f t="shared" si="20"/>
        <v>0</v>
      </c>
      <c r="AD486" s="66">
        <f t="shared" si="20"/>
        <v>0</v>
      </c>
    </row>
    <row r="487" spans="23:30" ht="15.75" customHeight="1" x14ac:dyDescent="0.25">
      <c r="W487" s="65" t="s">
        <v>216</v>
      </c>
      <c r="X487" s="47">
        <v>2021</v>
      </c>
      <c r="Y487" s="61">
        <v>606</v>
      </c>
      <c r="Z487" s="61"/>
      <c r="AA487" s="61">
        <v>1039</v>
      </c>
      <c r="AB487" s="61"/>
      <c r="AC487" s="61">
        <f t="shared" si="20"/>
        <v>629634</v>
      </c>
      <c r="AD487" s="66">
        <f t="shared" si="20"/>
        <v>0</v>
      </c>
    </row>
    <row r="488" spans="23:30" ht="15.75" customHeight="1" x14ac:dyDescent="0.25">
      <c r="W488" s="65" t="s">
        <v>216</v>
      </c>
      <c r="X488" s="47">
        <v>2022</v>
      </c>
      <c r="Y488" s="61">
        <v>621</v>
      </c>
      <c r="Z488" s="61"/>
      <c r="AA488" s="61">
        <v>2169</v>
      </c>
      <c r="AB488" s="61"/>
      <c r="AC488" s="61">
        <f t="shared" si="20"/>
        <v>1346949</v>
      </c>
      <c r="AD488" s="66">
        <f t="shared" si="20"/>
        <v>0</v>
      </c>
    </row>
    <row r="489" spans="23:30" ht="15.75" customHeight="1" x14ac:dyDescent="0.25">
      <c r="W489" s="65" t="s">
        <v>216</v>
      </c>
      <c r="X489" s="47">
        <v>2023</v>
      </c>
      <c r="Y489" s="61">
        <v>392</v>
      </c>
      <c r="Z489" s="61"/>
      <c r="AA489" s="61">
        <v>1975</v>
      </c>
      <c r="AB489" s="61"/>
      <c r="AC489" s="61">
        <f t="shared" si="20"/>
        <v>774200</v>
      </c>
      <c r="AD489" s="66">
        <f t="shared" si="20"/>
        <v>0</v>
      </c>
    </row>
    <row r="490" spans="23:30" ht="15.75" customHeight="1" x14ac:dyDescent="0.25">
      <c r="W490" s="65" t="s">
        <v>216</v>
      </c>
      <c r="X490" s="47">
        <v>2024</v>
      </c>
      <c r="Y490" s="61">
        <v>597</v>
      </c>
      <c r="Z490" s="61"/>
      <c r="AA490" s="61">
        <v>1326</v>
      </c>
      <c r="AB490" s="61"/>
      <c r="AC490" s="61">
        <f t="shared" si="20"/>
        <v>791622</v>
      </c>
      <c r="AD490" s="66">
        <f t="shared" si="20"/>
        <v>0</v>
      </c>
    </row>
    <row r="491" spans="23:30" ht="15.75" customHeight="1" x14ac:dyDescent="0.25">
      <c r="W491" s="65" t="s">
        <v>494</v>
      </c>
      <c r="X491" s="47">
        <v>2021</v>
      </c>
      <c r="Y491" s="61">
        <v>10778</v>
      </c>
      <c r="Z491" s="61">
        <v>4844</v>
      </c>
      <c r="AA491" s="61">
        <v>301</v>
      </c>
      <c r="AB491" s="64">
        <v>355</v>
      </c>
      <c r="AC491" s="61">
        <f t="shared" si="20"/>
        <v>3244178</v>
      </c>
      <c r="AD491" s="66">
        <f t="shared" si="20"/>
        <v>1719620</v>
      </c>
    </row>
    <row r="492" spans="23:30" ht="15.75" customHeight="1" x14ac:dyDescent="0.25">
      <c r="W492" s="65" t="s">
        <v>494</v>
      </c>
      <c r="X492" s="47">
        <v>2022</v>
      </c>
      <c r="Y492" s="61">
        <v>12030</v>
      </c>
      <c r="Z492" s="61">
        <v>6422</v>
      </c>
      <c r="AA492" s="61">
        <v>505</v>
      </c>
      <c r="AB492" s="64">
        <v>621</v>
      </c>
      <c r="AC492" s="61">
        <f t="shared" si="20"/>
        <v>6075150</v>
      </c>
      <c r="AD492" s="66">
        <f t="shared" si="20"/>
        <v>3988062</v>
      </c>
    </row>
    <row r="493" spans="23:30" ht="15.75" customHeight="1" x14ac:dyDescent="0.25">
      <c r="W493" s="65" t="s">
        <v>494</v>
      </c>
      <c r="X493" s="47">
        <v>2023</v>
      </c>
      <c r="Y493" s="61">
        <v>12916</v>
      </c>
      <c r="Z493" s="61">
        <v>3466</v>
      </c>
      <c r="AA493" s="61">
        <v>352</v>
      </c>
      <c r="AB493" s="64">
        <v>303</v>
      </c>
      <c r="AC493" s="61">
        <f t="shared" si="20"/>
        <v>4546432</v>
      </c>
      <c r="AD493" s="66">
        <f t="shared" si="20"/>
        <v>1050198</v>
      </c>
    </row>
    <row r="494" spans="23:30" ht="15.75" customHeight="1" x14ac:dyDescent="0.25">
      <c r="W494" s="65" t="s">
        <v>494</v>
      </c>
      <c r="X494" s="47">
        <v>2024</v>
      </c>
      <c r="Y494" s="61"/>
      <c r="Z494" s="61">
        <v>2165</v>
      </c>
      <c r="AA494" s="61"/>
      <c r="AB494" s="64">
        <v>271</v>
      </c>
      <c r="AC494" s="61">
        <f t="shared" si="20"/>
        <v>0</v>
      </c>
      <c r="AD494" s="66">
        <f t="shared" si="20"/>
        <v>586715</v>
      </c>
    </row>
    <row r="495" spans="23:30" ht="15.75" customHeight="1" x14ac:dyDescent="0.25">
      <c r="W495" s="65" t="s">
        <v>122</v>
      </c>
      <c r="X495" s="47">
        <v>2021</v>
      </c>
      <c r="Y495" s="61">
        <v>109</v>
      </c>
      <c r="Z495" s="61">
        <v>6765</v>
      </c>
      <c r="AA495" s="61"/>
      <c r="AB495" s="61">
        <v>693</v>
      </c>
      <c r="AC495" s="61">
        <f t="shared" si="20"/>
        <v>0</v>
      </c>
      <c r="AD495" s="66">
        <f t="shared" si="20"/>
        <v>4688145</v>
      </c>
    </row>
    <row r="496" spans="23:30" ht="15.75" customHeight="1" x14ac:dyDescent="0.25">
      <c r="W496" s="65" t="s">
        <v>122</v>
      </c>
      <c r="X496" s="47">
        <v>2022</v>
      </c>
      <c r="Y496" s="61">
        <v>110</v>
      </c>
      <c r="Z496" s="61">
        <v>736</v>
      </c>
      <c r="AA496" s="61"/>
      <c r="AB496" s="61">
        <v>1524</v>
      </c>
      <c r="AC496" s="61">
        <f t="shared" si="20"/>
        <v>0</v>
      </c>
      <c r="AD496" s="66">
        <f t="shared" si="20"/>
        <v>1121664</v>
      </c>
    </row>
    <row r="497" spans="23:30" ht="15.75" customHeight="1" x14ac:dyDescent="0.25">
      <c r="W497" s="65" t="s">
        <v>122</v>
      </c>
      <c r="X497" s="47">
        <v>2023</v>
      </c>
      <c r="Y497" s="61">
        <v>3</v>
      </c>
      <c r="Z497" s="61">
        <v>657</v>
      </c>
      <c r="AA497" s="61"/>
      <c r="AB497" s="61">
        <v>1375</v>
      </c>
      <c r="AC497" s="61">
        <f t="shared" si="20"/>
        <v>0</v>
      </c>
      <c r="AD497" s="66">
        <f t="shared" si="20"/>
        <v>903375</v>
      </c>
    </row>
    <row r="498" spans="23:30" ht="15.75" customHeight="1" x14ac:dyDescent="0.25">
      <c r="W498" s="65" t="s">
        <v>122</v>
      </c>
      <c r="X498" s="47">
        <v>2024</v>
      </c>
      <c r="Y498" s="61">
        <v>13</v>
      </c>
      <c r="Z498" s="61">
        <v>21164</v>
      </c>
      <c r="AA498" s="61"/>
      <c r="AB498" s="61">
        <v>794</v>
      </c>
      <c r="AC498" s="61">
        <f t="shared" si="20"/>
        <v>0</v>
      </c>
      <c r="AD498" s="66">
        <f t="shared" si="20"/>
        <v>16804216</v>
      </c>
    </row>
    <row r="499" spans="23:30" ht="15.75" customHeight="1" x14ac:dyDescent="0.25">
      <c r="W499" s="65" t="s">
        <v>219</v>
      </c>
      <c r="X499" s="47">
        <v>2021</v>
      </c>
      <c r="Y499" s="61">
        <v>202</v>
      </c>
      <c r="Z499" s="61"/>
      <c r="AA499" s="61">
        <v>1468</v>
      </c>
      <c r="AB499" s="61"/>
      <c r="AC499" s="61">
        <f t="shared" si="20"/>
        <v>296536</v>
      </c>
      <c r="AD499" s="66">
        <f t="shared" si="20"/>
        <v>0</v>
      </c>
    </row>
    <row r="500" spans="23:30" ht="15.75" customHeight="1" x14ac:dyDescent="0.25">
      <c r="W500" s="65" t="s">
        <v>219</v>
      </c>
      <c r="X500" s="47">
        <v>2022</v>
      </c>
      <c r="Y500" s="61">
        <v>295</v>
      </c>
      <c r="Z500" s="61"/>
      <c r="AA500" s="61">
        <v>2582</v>
      </c>
      <c r="AB500" s="61"/>
      <c r="AC500" s="61">
        <f t="shared" si="20"/>
        <v>761690</v>
      </c>
      <c r="AD500" s="66">
        <f t="shared" si="20"/>
        <v>0</v>
      </c>
    </row>
    <row r="501" spans="23:30" ht="15.75" customHeight="1" x14ac:dyDescent="0.25">
      <c r="W501" s="65" t="s">
        <v>219</v>
      </c>
      <c r="X501" s="47">
        <v>2023</v>
      </c>
      <c r="Y501" s="61">
        <v>166</v>
      </c>
      <c r="Z501" s="61"/>
      <c r="AA501" s="61">
        <v>1580</v>
      </c>
      <c r="AB501" s="61"/>
      <c r="AC501" s="61">
        <f t="shared" si="20"/>
        <v>262280</v>
      </c>
      <c r="AD501" s="66">
        <f t="shared" si="20"/>
        <v>0</v>
      </c>
    </row>
    <row r="502" spans="23:30" ht="15.75" customHeight="1" x14ac:dyDescent="0.25">
      <c r="W502" s="65" t="s">
        <v>219</v>
      </c>
      <c r="X502" s="47">
        <v>2024</v>
      </c>
      <c r="Y502" s="61">
        <v>215</v>
      </c>
      <c r="Z502" s="61"/>
      <c r="AA502" s="61">
        <v>1122</v>
      </c>
      <c r="AB502" s="61"/>
      <c r="AC502" s="61">
        <f t="shared" si="20"/>
        <v>241230</v>
      </c>
      <c r="AD502" s="66">
        <f t="shared" si="20"/>
        <v>0</v>
      </c>
    </row>
    <row r="503" spans="23:30" ht="15.75" customHeight="1" x14ac:dyDescent="0.25">
      <c r="W503" s="65" t="s">
        <v>495</v>
      </c>
      <c r="X503" s="47">
        <v>2021</v>
      </c>
      <c r="Y503" s="64">
        <v>876</v>
      </c>
      <c r="Z503" s="64">
        <v>8</v>
      </c>
      <c r="AA503" s="64">
        <v>1324</v>
      </c>
      <c r="AB503" s="61"/>
      <c r="AC503" s="61">
        <f t="shared" si="20"/>
        <v>1159824</v>
      </c>
      <c r="AD503" s="66">
        <f t="shared" si="20"/>
        <v>0</v>
      </c>
    </row>
    <row r="504" spans="23:30" ht="15.75" customHeight="1" x14ac:dyDescent="0.25">
      <c r="W504" s="65" t="s">
        <v>495</v>
      </c>
      <c r="X504" s="47">
        <v>2022</v>
      </c>
      <c r="Y504" s="64">
        <v>1369</v>
      </c>
      <c r="Z504" s="64">
        <v>1</v>
      </c>
      <c r="AA504" s="64">
        <v>1669</v>
      </c>
      <c r="AB504" s="61"/>
      <c r="AC504" s="61">
        <f t="shared" si="20"/>
        <v>2284861</v>
      </c>
      <c r="AD504" s="66">
        <f t="shared" si="20"/>
        <v>0</v>
      </c>
    </row>
    <row r="505" spans="23:30" ht="15.75" customHeight="1" x14ac:dyDescent="0.25">
      <c r="W505" s="65" t="s">
        <v>495</v>
      </c>
      <c r="X505" s="47">
        <v>2023</v>
      </c>
      <c r="Y505" s="64">
        <v>1780</v>
      </c>
      <c r="Z505" s="64">
        <v>1</v>
      </c>
      <c r="AA505" s="64">
        <v>1743</v>
      </c>
      <c r="AB505" s="61"/>
      <c r="AC505" s="61">
        <f t="shared" si="20"/>
        <v>3102540</v>
      </c>
      <c r="AD505" s="66">
        <f t="shared" si="20"/>
        <v>0</v>
      </c>
    </row>
    <row r="506" spans="23:30" ht="15.75" customHeight="1" x14ac:dyDescent="0.25">
      <c r="W506" s="65" t="s">
        <v>495</v>
      </c>
      <c r="X506" s="47">
        <v>2024</v>
      </c>
      <c r="Y506" s="64">
        <v>2889</v>
      </c>
      <c r="Z506" s="64"/>
      <c r="AA506" s="64">
        <v>2082</v>
      </c>
      <c r="AB506" s="61"/>
      <c r="AC506" s="61">
        <f t="shared" si="20"/>
        <v>6014898</v>
      </c>
      <c r="AD506" s="66">
        <f t="shared" si="20"/>
        <v>0</v>
      </c>
    </row>
    <row r="507" spans="23:30" ht="15.75" customHeight="1" x14ac:dyDescent="0.25">
      <c r="W507" s="65" t="s">
        <v>496</v>
      </c>
      <c r="X507" s="47">
        <v>2021</v>
      </c>
      <c r="Y507" s="61">
        <v>593374</v>
      </c>
      <c r="Z507" s="61"/>
      <c r="AA507" s="61">
        <v>347</v>
      </c>
      <c r="AB507" s="61"/>
      <c r="AC507" s="61">
        <f t="shared" si="20"/>
        <v>205900778</v>
      </c>
      <c r="AD507" s="66">
        <f t="shared" si="20"/>
        <v>0</v>
      </c>
    </row>
    <row r="508" spans="23:30" ht="15.75" customHeight="1" x14ac:dyDescent="0.25">
      <c r="W508" s="65" t="s">
        <v>496</v>
      </c>
      <c r="X508" s="47">
        <v>2022</v>
      </c>
      <c r="Y508" s="61">
        <v>378375</v>
      </c>
      <c r="Z508" s="61"/>
      <c r="AA508" s="61">
        <v>630</v>
      </c>
      <c r="AB508" s="61"/>
      <c r="AC508" s="61">
        <f t="shared" si="20"/>
        <v>238376250</v>
      </c>
      <c r="AD508" s="66">
        <f t="shared" si="20"/>
        <v>0</v>
      </c>
    </row>
    <row r="509" spans="23:30" ht="15.75" customHeight="1" x14ac:dyDescent="0.25">
      <c r="W509" s="65" t="s">
        <v>496</v>
      </c>
      <c r="X509" s="47">
        <v>2023</v>
      </c>
      <c r="Y509" s="61">
        <v>351633</v>
      </c>
      <c r="Z509" s="61"/>
      <c r="AA509" s="61">
        <v>351</v>
      </c>
      <c r="AB509" s="61"/>
      <c r="AC509" s="61">
        <f t="shared" si="20"/>
        <v>123423183</v>
      </c>
      <c r="AD509" s="66">
        <f t="shared" si="20"/>
        <v>0</v>
      </c>
    </row>
    <row r="510" spans="23:30" ht="15.75" customHeight="1" x14ac:dyDescent="0.25">
      <c r="W510" s="65" t="s">
        <v>496</v>
      </c>
      <c r="X510" s="47">
        <v>2024</v>
      </c>
      <c r="Y510" s="61">
        <v>330460</v>
      </c>
      <c r="Z510" s="61"/>
      <c r="AA510" s="61">
        <v>299</v>
      </c>
      <c r="AB510" s="61"/>
      <c r="AC510" s="61">
        <f t="shared" si="20"/>
        <v>98807540</v>
      </c>
      <c r="AD510" s="66">
        <f t="shared" si="20"/>
        <v>0</v>
      </c>
    </row>
    <row r="511" spans="23:30" ht="15.75" customHeight="1" x14ac:dyDescent="0.25">
      <c r="W511" s="65" t="s">
        <v>221</v>
      </c>
      <c r="X511" s="47">
        <v>2021</v>
      </c>
      <c r="Y511" s="61">
        <v>1550969</v>
      </c>
      <c r="Z511" s="61">
        <v>75</v>
      </c>
      <c r="AA511" s="61">
        <v>470</v>
      </c>
      <c r="AB511" s="61"/>
      <c r="AC511" s="61">
        <f t="shared" si="20"/>
        <v>728955430</v>
      </c>
      <c r="AD511" s="66">
        <f t="shared" si="20"/>
        <v>0</v>
      </c>
    </row>
    <row r="512" spans="23:30" ht="15.75" customHeight="1" x14ac:dyDescent="0.25">
      <c r="W512" s="65" t="s">
        <v>221</v>
      </c>
      <c r="X512" s="47">
        <v>2022</v>
      </c>
      <c r="Y512" s="61">
        <v>892582</v>
      </c>
      <c r="Z512" s="61">
        <v>2828</v>
      </c>
      <c r="AA512" s="61">
        <v>814</v>
      </c>
      <c r="AB512" s="61">
        <v>532</v>
      </c>
      <c r="AC512" s="61">
        <f t="shared" ref="AC512:AD522" si="21">Y512*AA512</f>
        <v>726561748</v>
      </c>
      <c r="AD512" s="66">
        <f t="shared" si="21"/>
        <v>1504496</v>
      </c>
    </row>
    <row r="513" spans="23:30" ht="15.75" customHeight="1" x14ac:dyDescent="0.25">
      <c r="W513" s="65" t="s">
        <v>221</v>
      </c>
      <c r="X513" s="47">
        <v>2023</v>
      </c>
      <c r="Y513" s="61">
        <v>825450</v>
      </c>
      <c r="Z513" s="61">
        <v>1285</v>
      </c>
      <c r="AA513" s="61">
        <v>411</v>
      </c>
      <c r="AB513" s="61">
        <v>492</v>
      </c>
      <c r="AC513" s="61">
        <f t="shared" si="21"/>
        <v>339259950</v>
      </c>
      <c r="AD513" s="66">
        <f t="shared" si="21"/>
        <v>632220</v>
      </c>
    </row>
    <row r="514" spans="23:30" ht="15.75" customHeight="1" x14ac:dyDescent="0.25">
      <c r="W514" s="65" t="s">
        <v>221</v>
      </c>
      <c r="X514" s="47">
        <v>2024</v>
      </c>
      <c r="Y514" s="61">
        <v>1081189</v>
      </c>
      <c r="Z514" s="61">
        <v>47</v>
      </c>
      <c r="AA514" s="61">
        <v>378</v>
      </c>
      <c r="AB514" s="61"/>
      <c r="AC514" s="61">
        <f t="shared" si="21"/>
        <v>408689442</v>
      </c>
      <c r="AD514" s="66">
        <f t="shared" si="21"/>
        <v>0</v>
      </c>
    </row>
    <row r="515" spans="23:30" ht="15.75" customHeight="1" x14ac:dyDescent="0.25">
      <c r="W515" s="65" t="s">
        <v>126</v>
      </c>
      <c r="X515" s="47">
        <v>2021</v>
      </c>
      <c r="Y515" s="61"/>
      <c r="Z515" s="61">
        <v>1294</v>
      </c>
      <c r="AA515" s="61"/>
      <c r="AB515" s="61">
        <v>687</v>
      </c>
      <c r="AC515" s="61">
        <f t="shared" si="21"/>
        <v>0</v>
      </c>
      <c r="AD515" s="66">
        <f t="shared" si="21"/>
        <v>888978</v>
      </c>
    </row>
    <row r="516" spans="23:30" ht="15.75" customHeight="1" x14ac:dyDescent="0.25">
      <c r="W516" s="65" t="s">
        <v>126</v>
      </c>
      <c r="X516" s="47">
        <v>2022</v>
      </c>
      <c r="Y516" s="61"/>
      <c r="Z516" s="61">
        <v>361</v>
      </c>
      <c r="AA516" s="61"/>
      <c r="AB516" s="61">
        <v>1263</v>
      </c>
      <c r="AC516" s="61">
        <f t="shared" si="21"/>
        <v>0</v>
      </c>
      <c r="AD516" s="66">
        <f t="shared" si="21"/>
        <v>455943</v>
      </c>
    </row>
    <row r="517" spans="23:30" ht="15.75" customHeight="1" x14ac:dyDescent="0.25">
      <c r="W517" s="65" t="s">
        <v>126</v>
      </c>
      <c r="X517" s="47">
        <v>2023</v>
      </c>
      <c r="Y517" s="61"/>
      <c r="Z517" s="61"/>
      <c r="AA517" s="61"/>
      <c r="AB517" s="61"/>
      <c r="AC517" s="61">
        <f t="shared" si="21"/>
        <v>0</v>
      </c>
      <c r="AD517" s="66">
        <f t="shared" si="21"/>
        <v>0</v>
      </c>
    </row>
    <row r="518" spans="23:30" ht="15.75" customHeight="1" x14ac:dyDescent="0.25">
      <c r="W518" s="65" t="s">
        <v>126</v>
      </c>
      <c r="X518" s="47">
        <v>2024</v>
      </c>
      <c r="Y518" s="61"/>
      <c r="Z518" s="61">
        <v>2127</v>
      </c>
      <c r="AA518" s="61"/>
      <c r="AB518" s="61">
        <v>1103</v>
      </c>
      <c r="AC518" s="61">
        <f t="shared" si="21"/>
        <v>0</v>
      </c>
      <c r="AD518" s="66">
        <f t="shared" si="21"/>
        <v>2346081</v>
      </c>
    </row>
    <row r="519" spans="23:30" ht="15.75" customHeight="1" x14ac:dyDescent="0.25">
      <c r="W519" s="65" t="s">
        <v>497</v>
      </c>
      <c r="X519" s="47">
        <v>2021</v>
      </c>
      <c r="Y519" s="61"/>
      <c r="Z519" s="61">
        <v>11952</v>
      </c>
      <c r="AA519" s="61"/>
      <c r="AB519" s="63">
        <v>713</v>
      </c>
      <c r="AC519" s="61">
        <f t="shared" si="21"/>
        <v>0</v>
      </c>
      <c r="AD519" s="66">
        <f t="shared" si="21"/>
        <v>8521776</v>
      </c>
    </row>
    <row r="520" spans="23:30" ht="15.75" customHeight="1" x14ac:dyDescent="0.25">
      <c r="W520" s="65" t="s">
        <v>497</v>
      </c>
      <c r="X520" s="47">
        <v>2022</v>
      </c>
      <c r="Y520" s="61"/>
      <c r="Z520" s="61">
        <v>15847</v>
      </c>
      <c r="AA520" s="61"/>
      <c r="AB520" s="63">
        <v>1229</v>
      </c>
      <c r="AC520" s="61">
        <f t="shared" si="21"/>
        <v>0</v>
      </c>
      <c r="AD520" s="66">
        <f t="shared" si="21"/>
        <v>19475963</v>
      </c>
    </row>
    <row r="521" spans="23:30" ht="15.75" customHeight="1" x14ac:dyDescent="0.25">
      <c r="W521" s="65" t="s">
        <v>497</v>
      </c>
      <c r="X521" s="47">
        <v>2023</v>
      </c>
      <c r="Y521" s="61"/>
      <c r="Z521" s="61">
        <v>12975</v>
      </c>
      <c r="AA521" s="61"/>
      <c r="AB521" s="63">
        <v>1193</v>
      </c>
      <c r="AC521" s="61">
        <f t="shared" si="21"/>
        <v>0</v>
      </c>
      <c r="AD521" s="66">
        <f t="shared" si="21"/>
        <v>15479175</v>
      </c>
    </row>
    <row r="522" spans="23:30" ht="15.75" customHeight="1" x14ac:dyDescent="0.25">
      <c r="W522" s="65" t="s">
        <v>497</v>
      </c>
      <c r="X522" s="73">
        <v>2024</v>
      </c>
      <c r="Y522" s="70"/>
      <c r="Z522" s="70">
        <v>12189</v>
      </c>
      <c r="AA522" s="70"/>
      <c r="AB522" s="71">
        <v>1059</v>
      </c>
      <c r="AC522" s="70">
        <f t="shared" si="21"/>
        <v>0</v>
      </c>
      <c r="AD522" s="72">
        <f t="shared" si="21"/>
        <v>12908151</v>
      </c>
    </row>
    <row r="523" spans="23:30" ht="15.75" customHeight="1" x14ac:dyDescent="0.25"/>
    <row r="524" spans="23:30" ht="15.75" customHeight="1" x14ac:dyDescent="0.25"/>
    <row r="525" spans="23:30" ht="15.75" customHeight="1" x14ac:dyDescent="0.25"/>
    <row r="526" spans="23:30" ht="15.75" customHeight="1" x14ac:dyDescent="0.25"/>
    <row r="527" spans="23:30" ht="15.75" customHeight="1" x14ac:dyDescent="0.25"/>
    <row r="528" spans="23:30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10">
    <mergeCell ref="T11:X11"/>
    <mergeCell ref="N30:U30"/>
    <mergeCell ref="T2:W2"/>
    <mergeCell ref="D31:G31"/>
    <mergeCell ref="I31:L31"/>
    <mergeCell ref="D2:K2"/>
    <mergeCell ref="M2:Q2"/>
    <mergeCell ref="D16:K16"/>
    <mergeCell ref="M16:P16"/>
    <mergeCell ref="AA11:AD11"/>
  </mergeCells>
  <phoneticPr fontId="13" type="noConversion"/>
  <conditionalFormatting sqref="N4:Q13">
    <cfRule type="cellIs" dxfId="4" priority="3" operator="greaterThan">
      <formula>0</formula>
    </cfRule>
    <cfRule type="cellIs" dxfId="3" priority="4" operator="lessThan">
      <formula>0</formula>
    </cfRule>
  </conditionalFormatting>
  <conditionalFormatting sqref="P18:P27">
    <cfRule type="cellIs" dxfId="2" priority="5" operator="lessThan">
      <formula>0</formula>
    </cfRule>
  </conditionalFormatting>
  <conditionalFormatting sqref="U4:W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" footer="0"/>
  <pageSetup orientation="portrait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3:O1000"/>
  <sheetViews>
    <sheetView workbookViewId="0">
      <selection activeCell="N8" sqref="N8"/>
    </sheetView>
  </sheetViews>
  <sheetFormatPr baseColWidth="10" defaultColWidth="14.42578125" defaultRowHeight="15" customHeight="1" x14ac:dyDescent="0.25"/>
  <cols>
    <col min="1" max="4" width="10.7109375" customWidth="1"/>
    <col min="5" max="5" width="28.42578125" customWidth="1"/>
    <col min="6" max="6" width="16.42578125" customWidth="1"/>
    <col min="7" max="7" width="40.42578125" customWidth="1"/>
    <col min="8" max="8" width="16" customWidth="1"/>
    <col min="9" max="26" width="10.7109375" customWidth="1"/>
  </cols>
  <sheetData>
    <row r="3" spans="4:15" x14ac:dyDescent="0.25">
      <c r="D3" s="24" t="s">
        <v>0</v>
      </c>
      <c r="E3" s="24" t="s">
        <v>333</v>
      </c>
      <c r="F3" s="24" t="s">
        <v>2</v>
      </c>
      <c r="G3" s="24" t="s">
        <v>334</v>
      </c>
      <c r="H3" s="24" t="s">
        <v>4</v>
      </c>
      <c r="I3" s="24" t="s">
        <v>335</v>
      </c>
      <c r="J3" s="24" t="s">
        <v>6</v>
      </c>
      <c r="K3" s="24" t="s">
        <v>7</v>
      </c>
    </row>
    <row r="4" spans="4:15" x14ac:dyDescent="0.25">
      <c r="D4" s="19">
        <v>2015</v>
      </c>
      <c r="E4" s="12">
        <v>2228300</v>
      </c>
      <c r="F4" s="19">
        <v>33.6</v>
      </c>
      <c r="G4" s="12">
        <v>1129900</v>
      </c>
      <c r="H4" s="19">
        <v>17</v>
      </c>
      <c r="I4" s="12">
        <v>3277500</v>
      </c>
      <c r="J4" s="19">
        <v>49.4</v>
      </c>
      <c r="K4" s="12">
        <v>6635700</v>
      </c>
    </row>
    <row r="5" spans="4:15" x14ac:dyDescent="0.25">
      <c r="D5" s="19">
        <v>2016</v>
      </c>
      <c r="E5" s="12">
        <v>2517200</v>
      </c>
      <c r="F5" s="19">
        <v>35.200000000000003</v>
      </c>
      <c r="G5" s="12">
        <v>1081500</v>
      </c>
      <c r="H5" s="19">
        <v>17</v>
      </c>
      <c r="I5" s="12">
        <v>3662500</v>
      </c>
      <c r="J5" s="19">
        <v>47.8</v>
      </c>
      <c r="K5" s="12">
        <v>7261200</v>
      </c>
    </row>
    <row r="6" spans="4:15" x14ac:dyDescent="0.25">
      <c r="D6" s="19">
        <v>2017</v>
      </c>
      <c r="E6" s="12">
        <v>2612900</v>
      </c>
      <c r="F6" s="19">
        <v>34.4</v>
      </c>
      <c r="G6" s="12">
        <v>1041700</v>
      </c>
      <c r="H6" s="19">
        <v>13.7</v>
      </c>
      <c r="I6" s="12">
        <v>3934100</v>
      </c>
      <c r="J6" s="19">
        <v>51.9</v>
      </c>
      <c r="K6" s="12">
        <v>7588700</v>
      </c>
    </row>
    <row r="7" spans="4:15" x14ac:dyDescent="0.25">
      <c r="D7" s="19">
        <v>2018</v>
      </c>
      <c r="E7" s="12">
        <v>2263000</v>
      </c>
      <c r="F7" s="19">
        <v>32.4</v>
      </c>
      <c r="G7" s="12">
        <v>992900</v>
      </c>
      <c r="H7" s="19">
        <v>14.2</v>
      </c>
      <c r="I7" s="12">
        <v>3736700</v>
      </c>
      <c r="J7" s="19">
        <v>53.4</v>
      </c>
      <c r="K7" s="12">
        <v>6992600</v>
      </c>
    </row>
    <row r="8" spans="4:15" x14ac:dyDescent="0.25">
      <c r="D8" s="19">
        <v>2019</v>
      </c>
      <c r="E8" s="12">
        <v>2156500</v>
      </c>
      <c r="F8" s="19">
        <v>31.4</v>
      </c>
      <c r="G8" s="12">
        <v>877000</v>
      </c>
      <c r="H8" s="19">
        <v>12.8</v>
      </c>
      <c r="I8" s="12">
        <v>3824800</v>
      </c>
      <c r="J8" s="19">
        <v>55.8</v>
      </c>
      <c r="K8" s="12">
        <v>6858300</v>
      </c>
    </row>
    <row r="9" spans="4:15" x14ac:dyDescent="0.25">
      <c r="D9" s="19">
        <v>2020</v>
      </c>
      <c r="E9" s="12">
        <v>2150900</v>
      </c>
      <c r="F9" s="19">
        <v>28.6</v>
      </c>
      <c r="G9" s="12">
        <v>886800</v>
      </c>
      <c r="H9" s="19">
        <v>11.8</v>
      </c>
      <c r="I9" s="12">
        <v>4474400</v>
      </c>
      <c r="J9" s="19">
        <v>59.6</v>
      </c>
      <c r="K9" s="12">
        <v>7512100</v>
      </c>
    </row>
    <row r="10" spans="4:15" x14ac:dyDescent="0.25">
      <c r="D10" s="19">
        <v>2021</v>
      </c>
      <c r="E10" s="12">
        <v>2044200</v>
      </c>
      <c r="F10" s="19">
        <v>26</v>
      </c>
      <c r="G10" s="12">
        <v>1062800</v>
      </c>
      <c r="H10" s="19">
        <v>13.5</v>
      </c>
      <c r="I10" s="12">
        <v>4769400</v>
      </c>
      <c r="J10" s="19">
        <v>60.5</v>
      </c>
      <c r="K10" s="12">
        <v>7876400</v>
      </c>
    </row>
    <row r="11" spans="4:15" x14ac:dyDescent="0.25">
      <c r="D11" s="19">
        <v>2022</v>
      </c>
      <c r="E11" s="12">
        <v>2568200</v>
      </c>
      <c r="F11" s="19">
        <v>31.2</v>
      </c>
      <c r="G11" s="12">
        <v>1115100</v>
      </c>
      <c r="H11" s="19">
        <v>13.6</v>
      </c>
      <c r="I11" s="12">
        <v>4538500</v>
      </c>
      <c r="J11" s="19">
        <v>55.2</v>
      </c>
      <c r="K11" s="12">
        <v>8221800</v>
      </c>
    </row>
    <row r="12" spans="4:15" x14ac:dyDescent="0.25">
      <c r="D12" s="19">
        <v>2023</v>
      </c>
      <c r="E12" s="12">
        <v>2291000</v>
      </c>
      <c r="F12" s="19">
        <v>29.9</v>
      </c>
      <c r="G12" s="12">
        <v>1050800</v>
      </c>
      <c r="H12" s="19">
        <v>13.7</v>
      </c>
      <c r="I12" s="12">
        <v>4314900</v>
      </c>
      <c r="J12" s="19">
        <v>56.4</v>
      </c>
      <c r="K12" s="12">
        <v>7656700</v>
      </c>
    </row>
    <row r="13" spans="4:15" x14ac:dyDescent="0.25">
      <c r="D13" s="19">
        <v>2024</v>
      </c>
      <c r="E13" s="12">
        <v>2256400</v>
      </c>
      <c r="F13" s="19">
        <v>30.8</v>
      </c>
      <c r="G13" s="12">
        <v>852900</v>
      </c>
      <c r="H13" s="19">
        <v>11.7</v>
      </c>
      <c r="I13" s="12">
        <v>4204800</v>
      </c>
      <c r="J13" s="19">
        <v>57.5</v>
      </c>
      <c r="K13" s="12">
        <v>7314100</v>
      </c>
    </row>
    <row r="15" spans="4:15" x14ac:dyDescent="0.25">
      <c r="D15" s="105" t="s">
        <v>359</v>
      </c>
      <c r="E15" s="106"/>
      <c r="F15" s="106"/>
      <c r="G15" s="106"/>
      <c r="H15" s="107"/>
      <c r="J15" s="117" t="s">
        <v>360</v>
      </c>
      <c r="K15" s="109"/>
      <c r="L15" s="109"/>
      <c r="M15" s="109"/>
      <c r="N15" s="109"/>
      <c r="O15" s="110"/>
    </row>
    <row r="16" spans="4:15" x14ac:dyDescent="0.25">
      <c r="D16" s="24" t="s">
        <v>0</v>
      </c>
      <c r="E16" s="24" t="s">
        <v>1</v>
      </c>
      <c r="F16" s="24" t="s">
        <v>3</v>
      </c>
      <c r="G16" s="24" t="s">
        <v>5</v>
      </c>
      <c r="H16" s="24" t="s">
        <v>7</v>
      </c>
    </row>
    <row r="17" spans="4:8" x14ac:dyDescent="0.25">
      <c r="D17" s="19">
        <v>2015</v>
      </c>
      <c r="E17" s="38">
        <f t="shared" ref="E17:E26" si="0">E4/1000000</f>
        <v>2.2282999999999999</v>
      </c>
      <c r="F17" s="38">
        <f t="shared" ref="F17:F26" si="1">G4/1000000</f>
        <v>1.1298999999999999</v>
      </c>
      <c r="G17" s="38">
        <f t="shared" ref="G17:G26" si="2">I4/1000000</f>
        <v>3.2774999999999999</v>
      </c>
      <c r="H17" s="38">
        <f t="shared" ref="H17:H26" si="3">K4/1000000</f>
        <v>6.6356999999999999</v>
      </c>
    </row>
    <row r="18" spans="4:8" x14ac:dyDescent="0.25">
      <c r="D18" s="19">
        <v>2016</v>
      </c>
      <c r="E18" s="38">
        <f t="shared" si="0"/>
        <v>2.5171999999999999</v>
      </c>
      <c r="F18" s="38">
        <f t="shared" si="1"/>
        <v>1.0814999999999999</v>
      </c>
      <c r="G18" s="38">
        <f t="shared" si="2"/>
        <v>3.6625000000000001</v>
      </c>
      <c r="H18" s="38">
        <f t="shared" si="3"/>
        <v>7.2611999999999997</v>
      </c>
    </row>
    <row r="19" spans="4:8" x14ac:dyDescent="0.25">
      <c r="D19" s="19">
        <v>2017</v>
      </c>
      <c r="E19" s="38">
        <f t="shared" si="0"/>
        <v>2.6128999999999998</v>
      </c>
      <c r="F19" s="38">
        <f t="shared" si="1"/>
        <v>1.0417000000000001</v>
      </c>
      <c r="G19" s="38">
        <f t="shared" si="2"/>
        <v>3.9340999999999999</v>
      </c>
      <c r="H19" s="38">
        <f t="shared" si="3"/>
        <v>7.5887000000000002</v>
      </c>
    </row>
    <row r="20" spans="4:8" x14ac:dyDescent="0.25">
      <c r="D20" s="19">
        <v>2018</v>
      </c>
      <c r="E20" s="38">
        <f t="shared" si="0"/>
        <v>2.2629999999999999</v>
      </c>
      <c r="F20" s="38">
        <f t="shared" si="1"/>
        <v>0.9929</v>
      </c>
      <c r="G20" s="38">
        <f t="shared" si="2"/>
        <v>3.7366999999999999</v>
      </c>
      <c r="H20" s="38">
        <f t="shared" si="3"/>
        <v>6.9926000000000004</v>
      </c>
    </row>
    <row r="21" spans="4:8" ht="15.75" customHeight="1" x14ac:dyDescent="0.25">
      <c r="D21" s="19">
        <v>2019</v>
      </c>
      <c r="E21" s="38">
        <f t="shared" si="0"/>
        <v>2.1564999999999999</v>
      </c>
      <c r="F21" s="38">
        <f t="shared" si="1"/>
        <v>0.877</v>
      </c>
      <c r="G21" s="38">
        <f t="shared" si="2"/>
        <v>3.8248000000000002</v>
      </c>
      <c r="H21" s="38">
        <f t="shared" si="3"/>
        <v>6.8582999999999998</v>
      </c>
    </row>
    <row r="22" spans="4:8" ht="15.75" customHeight="1" x14ac:dyDescent="0.25">
      <c r="D22" s="19">
        <v>2020</v>
      </c>
      <c r="E22" s="38">
        <f t="shared" si="0"/>
        <v>2.1509</v>
      </c>
      <c r="F22" s="38">
        <f t="shared" si="1"/>
        <v>0.88680000000000003</v>
      </c>
      <c r="G22" s="38">
        <f t="shared" si="2"/>
        <v>4.4744000000000002</v>
      </c>
      <c r="H22" s="38">
        <f t="shared" si="3"/>
        <v>7.5121000000000002</v>
      </c>
    </row>
    <row r="23" spans="4:8" ht="15.75" customHeight="1" x14ac:dyDescent="0.25">
      <c r="D23" s="19">
        <v>2021</v>
      </c>
      <c r="E23" s="38">
        <f t="shared" si="0"/>
        <v>2.0442</v>
      </c>
      <c r="F23" s="38">
        <f t="shared" si="1"/>
        <v>1.0628</v>
      </c>
      <c r="G23" s="38">
        <f t="shared" si="2"/>
        <v>4.7694000000000001</v>
      </c>
      <c r="H23" s="38">
        <f t="shared" si="3"/>
        <v>7.8764000000000003</v>
      </c>
    </row>
    <row r="24" spans="4:8" ht="15.75" customHeight="1" x14ac:dyDescent="0.25">
      <c r="D24" s="19">
        <v>2022</v>
      </c>
      <c r="E24" s="38">
        <f t="shared" si="0"/>
        <v>2.5682</v>
      </c>
      <c r="F24" s="38">
        <f t="shared" si="1"/>
        <v>1.1151</v>
      </c>
      <c r="G24" s="38">
        <f t="shared" si="2"/>
        <v>4.5385</v>
      </c>
      <c r="H24" s="38">
        <f t="shared" si="3"/>
        <v>8.2218</v>
      </c>
    </row>
    <row r="25" spans="4:8" ht="15.75" customHeight="1" x14ac:dyDescent="0.25">
      <c r="D25" s="19">
        <v>2023</v>
      </c>
      <c r="E25" s="38">
        <f t="shared" si="0"/>
        <v>2.2909999999999999</v>
      </c>
      <c r="F25" s="38">
        <f t="shared" si="1"/>
        <v>1.0508</v>
      </c>
      <c r="G25" s="38">
        <f t="shared" si="2"/>
        <v>4.3148999999999997</v>
      </c>
      <c r="H25" s="38">
        <f t="shared" si="3"/>
        <v>7.6566999999999998</v>
      </c>
    </row>
    <row r="26" spans="4:8" ht="15.75" customHeight="1" x14ac:dyDescent="0.25">
      <c r="D26" s="19">
        <v>2024</v>
      </c>
      <c r="E26" s="38">
        <f t="shared" si="0"/>
        <v>2.2564000000000002</v>
      </c>
      <c r="F26" s="38">
        <f t="shared" si="1"/>
        <v>0.85289999999999999</v>
      </c>
      <c r="G26" s="38">
        <f t="shared" si="2"/>
        <v>4.2047999999999996</v>
      </c>
      <c r="H26" s="38">
        <f t="shared" si="3"/>
        <v>7.3140999999999998</v>
      </c>
    </row>
    <row r="27" spans="4:8" ht="15.75" customHeight="1" x14ac:dyDescent="0.25"/>
    <row r="28" spans="4:8" ht="15.75" customHeight="1" x14ac:dyDescent="0.25"/>
    <row r="29" spans="4:8" ht="15.75" customHeight="1" x14ac:dyDescent="0.25"/>
    <row r="30" spans="4:8" ht="15.75" customHeight="1" x14ac:dyDescent="0.25"/>
    <row r="31" spans="4:8" ht="15.75" customHeight="1" x14ac:dyDescent="0.25"/>
    <row r="32" spans="4:8" ht="15.75" customHeight="1" x14ac:dyDescent="0.25"/>
    <row r="33" spans="8:8" ht="15.75" customHeight="1" x14ac:dyDescent="0.25">
      <c r="H33" s="39"/>
    </row>
    <row r="34" spans="8:8" ht="15.75" customHeight="1" x14ac:dyDescent="0.25"/>
    <row r="35" spans="8:8" ht="15.75" customHeight="1" x14ac:dyDescent="0.25"/>
    <row r="36" spans="8:8" ht="15.75" customHeight="1" x14ac:dyDescent="0.25">
      <c r="H36" s="37"/>
    </row>
    <row r="37" spans="8:8" ht="15.75" customHeight="1" x14ac:dyDescent="0.25">
      <c r="H37" s="37"/>
    </row>
    <row r="38" spans="8:8" ht="15.75" customHeight="1" x14ac:dyDescent="0.25">
      <c r="H38" s="37"/>
    </row>
    <row r="39" spans="8:8" ht="15.75" customHeight="1" x14ac:dyDescent="0.25">
      <c r="H39" s="37"/>
    </row>
    <row r="40" spans="8:8" ht="15.75" customHeight="1" x14ac:dyDescent="0.25">
      <c r="H40" s="37"/>
    </row>
    <row r="41" spans="8:8" ht="15.75" customHeight="1" x14ac:dyDescent="0.25">
      <c r="H41" s="37"/>
    </row>
    <row r="42" spans="8:8" ht="15.75" customHeight="1" x14ac:dyDescent="0.25">
      <c r="H42" s="37"/>
    </row>
    <row r="43" spans="8:8" ht="15.75" customHeight="1" x14ac:dyDescent="0.25">
      <c r="H43" s="37"/>
    </row>
    <row r="44" spans="8:8" ht="15.75" customHeight="1" x14ac:dyDescent="0.25">
      <c r="H44" s="37"/>
    </row>
    <row r="45" spans="8:8" ht="15.75" customHeight="1" x14ac:dyDescent="0.25">
      <c r="H45" s="37"/>
    </row>
    <row r="46" spans="8:8" ht="15.75" customHeight="1" x14ac:dyDescent="0.25">
      <c r="H46" s="37"/>
    </row>
    <row r="47" spans="8:8" ht="15.75" customHeight="1" x14ac:dyDescent="0.25">
      <c r="H47" s="37"/>
    </row>
    <row r="48" spans="8:8" ht="15.75" customHeight="1" x14ac:dyDescent="0.25">
      <c r="H48" s="37"/>
    </row>
    <row r="49" spans="8:8" ht="15.75" customHeight="1" x14ac:dyDescent="0.25">
      <c r="H49" s="37"/>
    </row>
    <row r="50" spans="8:8" ht="15.75" customHeight="1" x14ac:dyDescent="0.25">
      <c r="H50" s="37"/>
    </row>
    <row r="51" spans="8:8" ht="15.75" customHeight="1" x14ac:dyDescent="0.25"/>
    <row r="52" spans="8:8" ht="15.75" customHeight="1" x14ac:dyDescent="0.25"/>
    <row r="53" spans="8:8" ht="15.75" customHeight="1" x14ac:dyDescent="0.25"/>
    <row r="54" spans="8:8" ht="15.75" customHeight="1" x14ac:dyDescent="0.25"/>
    <row r="55" spans="8:8" ht="15.75" customHeight="1" x14ac:dyDescent="0.25"/>
    <row r="56" spans="8:8" ht="15.75" customHeight="1" x14ac:dyDescent="0.25"/>
    <row r="57" spans="8:8" ht="15.75" customHeight="1" x14ac:dyDescent="0.25"/>
    <row r="58" spans="8:8" ht="15.75" customHeight="1" x14ac:dyDescent="0.25"/>
    <row r="59" spans="8:8" ht="15.75" customHeight="1" x14ac:dyDescent="0.25"/>
    <row r="60" spans="8:8" ht="15.75" customHeight="1" x14ac:dyDescent="0.25"/>
    <row r="61" spans="8:8" ht="15.75" customHeight="1" x14ac:dyDescent="0.25"/>
    <row r="62" spans="8:8" ht="15.75" customHeight="1" x14ac:dyDescent="0.25"/>
    <row r="63" spans="8:8" ht="15.75" customHeight="1" x14ac:dyDescent="0.25"/>
    <row r="64" spans="8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D15:H15"/>
    <mergeCell ref="J15:O15"/>
  </mergeCells>
  <pageMargins left="0.7" right="0.7" top="0.75" bottom="0.75" header="0" footer="0"/>
  <pageSetup orientation="portrait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S1000"/>
  <sheetViews>
    <sheetView workbookViewId="0">
      <selection activeCell="S29" sqref="S29"/>
    </sheetView>
  </sheetViews>
  <sheetFormatPr baseColWidth="10" defaultColWidth="14.42578125" defaultRowHeight="15" customHeight="1" x14ac:dyDescent="0.25"/>
  <cols>
    <col min="1" max="2" width="10.7109375" customWidth="1"/>
    <col min="3" max="3" width="18" customWidth="1"/>
    <col min="4" max="26" width="10.7109375" customWidth="1"/>
  </cols>
  <sheetData>
    <row r="4" spans="3:19" x14ac:dyDescent="0.25">
      <c r="C4" s="105" t="s">
        <v>361</v>
      </c>
      <c r="D4" s="106"/>
      <c r="E4" s="106"/>
      <c r="F4" s="106"/>
      <c r="G4" s="106"/>
      <c r="H4" s="107"/>
    </row>
    <row r="5" spans="3:19" x14ac:dyDescent="0.25">
      <c r="C5" s="16" t="s">
        <v>362</v>
      </c>
      <c r="D5" s="40" t="s">
        <v>363</v>
      </c>
      <c r="E5" s="40" t="s">
        <v>364</v>
      </c>
      <c r="F5" s="40" t="s">
        <v>365</v>
      </c>
      <c r="G5" s="40" t="s">
        <v>366</v>
      </c>
      <c r="H5" s="40" t="s">
        <v>367</v>
      </c>
    </row>
    <row r="6" spans="3:19" x14ac:dyDescent="0.25">
      <c r="C6" s="17" t="s">
        <v>368</v>
      </c>
      <c r="D6" s="12">
        <v>937859</v>
      </c>
      <c r="E6" s="12">
        <v>836605</v>
      </c>
      <c r="F6" s="12">
        <v>913454</v>
      </c>
      <c r="G6" s="12">
        <v>973919</v>
      </c>
      <c r="H6" s="12">
        <v>844400</v>
      </c>
      <c r="I6" s="34"/>
      <c r="J6" s="34"/>
    </row>
    <row r="7" spans="3:19" x14ac:dyDescent="0.25">
      <c r="C7" s="17" t="s">
        <v>369</v>
      </c>
      <c r="D7" s="12">
        <v>1364953</v>
      </c>
      <c r="E7" s="12">
        <v>1399535</v>
      </c>
      <c r="F7" s="12">
        <v>1474883</v>
      </c>
      <c r="G7" s="12">
        <v>1515449</v>
      </c>
      <c r="H7" s="12">
        <v>1518875</v>
      </c>
      <c r="I7" s="34"/>
      <c r="J7" s="34"/>
      <c r="N7" s="117" t="s">
        <v>370</v>
      </c>
      <c r="O7" s="109"/>
      <c r="P7" s="109"/>
      <c r="Q7" s="109"/>
      <c r="R7" s="109"/>
      <c r="S7" s="110"/>
    </row>
    <row r="8" spans="3:19" x14ac:dyDescent="0.25">
      <c r="C8" s="17" t="s">
        <v>371</v>
      </c>
      <c r="D8" s="12">
        <v>1051251</v>
      </c>
      <c r="E8" s="12">
        <v>1036711</v>
      </c>
      <c r="F8" s="12">
        <v>1195699</v>
      </c>
      <c r="G8" s="12">
        <v>1317180</v>
      </c>
      <c r="H8" s="12">
        <v>1376525</v>
      </c>
      <c r="I8" s="34"/>
      <c r="J8" s="34"/>
    </row>
    <row r="9" spans="3:19" x14ac:dyDescent="0.25">
      <c r="C9" s="17" t="s">
        <v>372</v>
      </c>
      <c r="D9" s="12">
        <v>1547818</v>
      </c>
      <c r="E9" s="12">
        <v>1738142</v>
      </c>
      <c r="F9" s="12">
        <v>1815707</v>
      </c>
      <c r="G9" s="12">
        <v>1615160</v>
      </c>
      <c r="H9" s="12">
        <v>1682322</v>
      </c>
      <c r="I9" s="34"/>
      <c r="J9" s="34"/>
    </row>
    <row r="10" spans="3:19" x14ac:dyDescent="0.25">
      <c r="C10" s="17" t="s">
        <v>7</v>
      </c>
      <c r="D10" s="12">
        <f t="shared" ref="D10:H10" si="0">SUM(D6:D9)</f>
        <v>4901881</v>
      </c>
      <c r="E10" s="12">
        <f t="shared" si="0"/>
        <v>5010993</v>
      </c>
      <c r="F10" s="12">
        <f t="shared" si="0"/>
        <v>5399743</v>
      </c>
      <c r="G10" s="12">
        <f t="shared" si="0"/>
        <v>5421708</v>
      </c>
      <c r="H10" s="12">
        <f t="shared" si="0"/>
        <v>5422122</v>
      </c>
    </row>
    <row r="11" spans="3:19" x14ac:dyDescent="0.25">
      <c r="D11" s="1"/>
      <c r="E11" s="1"/>
      <c r="F11" s="1"/>
      <c r="G11" s="1"/>
      <c r="H11" s="1"/>
    </row>
    <row r="12" spans="3:19" x14ac:dyDescent="0.25">
      <c r="D12" s="1"/>
      <c r="E12" s="1"/>
      <c r="F12" s="1"/>
      <c r="G12" s="1"/>
      <c r="H12" s="1"/>
    </row>
    <row r="13" spans="3:19" x14ac:dyDescent="0.25">
      <c r="C13" s="105" t="s">
        <v>373</v>
      </c>
      <c r="D13" s="106"/>
      <c r="E13" s="106"/>
      <c r="F13" s="106"/>
      <c r="G13" s="106"/>
      <c r="H13" s="107"/>
    </row>
    <row r="14" spans="3:19" x14ac:dyDescent="0.25">
      <c r="C14" s="41" t="s">
        <v>362</v>
      </c>
      <c r="D14" s="24" t="s">
        <v>363</v>
      </c>
      <c r="E14" s="24" t="s">
        <v>364</v>
      </c>
      <c r="F14" s="24" t="s">
        <v>365</v>
      </c>
      <c r="G14" s="24" t="s">
        <v>366</v>
      </c>
      <c r="H14" s="24" t="s">
        <v>367</v>
      </c>
    </row>
    <row r="15" spans="3:19" x14ac:dyDescent="0.25">
      <c r="C15" s="11" t="s">
        <v>368</v>
      </c>
      <c r="D15" s="42">
        <f t="shared" ref="D15:H15" si="1">D6/1000000</f>
        <v>0.937859</v>
      </c>
      <c r="E15" s="42">
        <f t="shared" si="1"/>
        <v>0.83660500000000004</v>
      </c>
      <c r="F15" s="42">
        <f t="shared" si="1"/>
        <v>0.91345399999999999</v>
      </c>
      <c r="G15" s="42">
        <f t="shared" si="1"/>
        <v>0.97391899999999998</v>
      </c>
      <c r="H15" s="42">
        <f t="shared" si="1"/>
        <v>0.84440000000000004</v>
      </c>
    </row>
    <row r="16" spans="3:19" x14ac:dyDescent="0.25">
      <c r="C16" s="11" t="s">
        <v>369</v>
      </c>
      <c r="D16" s="42">
        <f t="shared" ref="D16:H16" si="2">D7/1000000</f>
        <v>1.3649530000000001</v>
      </c>
      <c r="E16" s="42">
        <f t="shared" si="2"/>
        <v>1.399535</v>
      </c>
      <c r="F16" s="42">
        <f t="shared" si="2"/>
        <v>1.4748829999999999</v>
      </c>
      <c r="G16" s="42">
        <f t="shared" si="2"/>
        <v>1.515449</v>
      </c>
      <c r="H16" s="42">
        <f t="shared" si="2"/>
        <v>1.518875</v>
      </c>
    </row>
    <row r="17" spans="3:8" x14ac:dyDescent="0.25">
      <c r="C17" s="11" t="s">
        <v>371</v>
      </c>
      <c r="D17" s="42">
        <f t="shared" ref="D17:H17" si="3">D8/1000000</f>
        <v>1.0512509999999999</v>
      </c>
      <c r="E17" s="42">
        <f t="shared" si="3"/>
        <v>1.0367109999999999</v>
      </c>
      <c r="F17" s="42">
        <f t="shared" si="3"/>
        <v>1.1956990000000001</v>
      </c>
      <c r="G17" s="42">
        <f t="shared" si="3"/>
        <v>1.31718</v>
      </c>
      <c r="H17" s="42">
        <f t="shared" si="3"/>
        <v>1.376525</v>
      </c>
    </row>
    <row r="18" spans="3:8" x14ac:dyDescent="0.25">
      <c r="C18" s="11" t="s">
        <v>372</v>
      </c>
      <c r="D18" s="42">
        <f t="shared" ref="D18:H18" si="4">D9/1000000</f>
        <v>1.5478179999999999</v>
      </c>
      <c r="E18" s="42">
        <f t="shared" si="4"/>
        <v>1.7381420000000001</v>
      </c>
      <c r="F18" s="42">
        <f t="shared" si="4"/>
        <v>1.815707</v>
      </c>
      <c r="G18" s="42">
        <f t="shared" si="4"/>
        <v>1.6151599999999999</v>
      </c>
      <c r="H18" s="42">
        <f t="shared" si="4"/>
        <v>1.6823220000000001</v>
      </c>
    </row>
    <row r="19" spans="3:8" x14ac:dyDescent="0.25">
      <c r="C19" s="11" t="s">
        <v>7</v>
      </c>
      <c r="D19" s="42">
        <f t="shared" ref="D19:H19" si="5">D10/1000000</f>
        <v>4.9018810000000004</v>
      </c>
      <c r="E19" s="42">
        <f t="shared" si="5"/>
        <v>5.010993</v>
      </c>
      <c r="F19" s="42">
        <f t="shared" si="5"/>
        <v>5.399743</v>
      </c>
      <c r="G19" s="42">
        <f t="shared" si="5"/>
        <v>5.4217079999999997</v>
      </c>
      <c r="H19" s="42">
        <f t="shared" si="5"/>
        <v>5.4221219999999999</v>
      </c>
    </row>
    <row r="21" spans="3:8" ht="15.75" customHeight="1" x14ac:dyDescent="0.25"/>
    <row r="22" spans="3:8" ht="15.75" customHeight="1" x14ac:dyDescent="0.25"/>
    <row r="23" spans="3:8" ht="15.75" customHeight="1" x14ac:dyDescent="0.25"/>
    <row r="24" spans="3:8" ht="15.75" customHeight="1" x14ac:dyDescent="0.25"/>
    <row r="25" spans="3:8" ht="15.75" customHeight="1" x14ac:dyDescent="0.25"/>
    <row r="26" spans="3:8" ht="15.75" customHeight="1" x14ac:dyDescent="0.25"/>
    <row r="27" spans="3:8" ht="15.75" customHeight="1" x14ac:dyDescent="0.25"/>
    <row r="28" spans="3:8" ht="15.75" customHeight="1" x14ac:dyDescent="0.25"/>
    <row r="29" spans="3:8" ht="15.75" customHeight="1" x14ac:dyDescent="0.25"/>
    <row r="30" spans="3:8" ht="15.75" customHeight="1" x14ac:dyDescent="0.25"/>
    <row r="31" spans="3:8" ht="15.75" customHeight="1" x14ac:dyDescent="0.25"/>
    <row r="32" spans="3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C4:H4"/>
    <mergeCell ref="N7:S7"/>
    <mergeCell ref="C13:H13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F1000"/>
  <sheetViews>
    <sheetView topLeftCell="A4" workbookViewId="0">
      <selection activeCell="D9" sqref="D9"/>
    </sheetView>
  </sheetViews>
  <sheetFormatPr baseColWidth="10" defaultColWidth="14.42578125" defaultRowHeight="15" customHeight="1" x14ac:dyDescent="0.25"/>
  <cols>
    <col min="1" max="3" width="10.7109375" customWidth="1"/>
    <col min="4" max="4" width="17.85546875" customWidth="1"/>
    <col min="5" max="5" width="25.85546875" customWidth="1"/>
    <col min="6" max="6" width="40" customWidth="1"/>
    <col min="7" max="26" width="10.7109375" customWidth="1"/>
  </cols>
  <sheetData>
    <row r="3" spans="4:6" x14ac:dyDescent="0.25">
      <c r="D3" s="16" t="s">
        <v>1</v>
      </c>
      <c r="E3" s="16" t="s">
        <v>3</v>
      </c>
      <c r="F3" s="16" t="s">
        <v>5</v>
      </c>
    </row>
    <row r="4" spans="4:6" x14ac:dyDescent="0.25">
      <c r="D4" s="17" t="s">
        <v>87</v>
      </c>
      <c r="E4" s="17" t="s">
        <v>88</v>
      </c>
      <c r="F4" s="17" t="s">
        <v>23</v>
      </c>
    </row>
    <row r="5" spans="4:6" x14ac:dyDescent="0.25">
      <c r="D5" s="17" t="s">
        <v>90</v>
      </c>
      <c r="E5" s="17" t="s">
        <v>91</v>
      </c>
      <c r="F5" s="17" t="s">
        <v>92</v>
      </c>
    </row>
    <row r="6" spans="4:6" x14ac:dyDescent="0.25">
      <c r="D6" s="17" t="s">
        <v>94</v>
      </c>
      <c r="E6" s="17" t="s">
        <v>95</v>
      </c>
      <c r="F6" s="17" t="s">
        <v>96</v>
      </c>
    </row>
    <row r="7" spans="4:6" x14ac:dyDescent="0.25">
      <c r="D7" s="17" t="s">
        <v>99</v>
      </c>
      <c r="E7" s="17" t="s">
        <v>45</v>
      </c>
      <c r="F7" s="17" t="s">
        <v>100</v>
      </c>
    </row>
    <row r="8" spans="4:6" x14ac:dyDescent="0.25">
      <c r="D8" s="17" t="s">
        <v>102</v>
      </c>
      <c r="E8" s="17" t="s">
        <v>103</v>
      </c>
      <c r="F8" s="17" t="s">
        <v>104</v>
      </c>
    </row>
    <row r="9" spans="4:6" x14ac:dyDescent="0.25">
      <c r="D9" s="17" t="s">
        <v>107</v>
      </c>
      <c r="E9" s="17" t="s">
        <v>108</v>
      </c>
      <c r="F9" s="17" t="s">
        <v>109</v>
      </c>
    </row>
    <row r="10" spans="4:6" x14ac:dyDescent="0.25">
      <c r="D10" s="17" t="s">
        <v>110</v>
      </c>
      <c r="E10" s="17" t="s">
        <v>111</v>
      </c>
      <c r="F10" s="17" t="s">
        <v>112</v>
      </c>
    </row>
    <row r="11" spans="4:6" x14ac:dyDescent="0.25">
      <c r="D11" s="17" t="s">
        <v>114</v>
      </c>
      <c r="E11" s="17" t="s">
        <v>115</v>
      </c>
      <c r="F11" s="17" t="s">
        <v>116</v>
      </c>
    </row>
    <row r="12" spans="4:6" x14ac:dyDescent="0.25">
      <c r="D12" s="17" t="s">
        <v>118</v>
      </c>
      <c r="E12" s="17" t="s">
        <v>119</v>
      </c>
      <c r="F12" s="17" t="s">
        <v>120</v>
      </c>
    </row>
    <row r="13" spans="4:6" x14ac:dyDescent="0.25">
      <c r="D13" s="17" t="s">
        <v>122</v>
      </c>
      <c r="E13" s="17" t="s">
        <v>123</v>
      </c>
      <c r="F13" s="17" t="s">
        <v>124</v>
      </c>
    </row>
    <row r="14" spans="4:6" x14ac:dyDescent="0.25">
      <c r="D14" s="17" t="s">
        <v>126</v>
      </c>
      <c r="E14" s="17" t="s">
        <v>127</v>
      </c>
      <c r="F14" s="17" t="s">
        <v>128</v>
      </c>
    </row>
    <row r="15" spans="4:6" x14ac:dyDescent="0.25">
      <c r="D15" s="17" t="s">
        <v>130</v>
      </c>
      <c r="E15" s="17" t="s">
        <v>131</v>
      </c>
      <c r="F15" s="17" t="s">
        <v>132</v>
      </c>
    </row>
    <row r="16" spans="4:6" x14ac:dyDescent="0.25">
      <c r="D16" s="17"/>
      <c r="E16" s="17" t="s">
        <v>80</v>
      </c>
      <c r="F16" s="17" t="s">
        <v>134</v>
      </c>
    </row>
    <row r="17" spans="4:6" x14ac:dyDescent="0.25">
      <c r="D17" s="17"/>
      <c r="E17" s="17" t="s">
        <v>136</v>
      </c>
      <c r="F17" s="17" t="s">
        <v>137</v>
      </c>
    </row>
    <row r="18" spans="4:6" x14ac:dyDescent="0.25">
      <c r="D18" s="17"/>
      <c r="E18" s="17" t="s">
        <v>97</v>
      </c>
      <c r="F18" s="17" t="s">
        <v>139</v>
      </c>
    </row>
    <row r="19" spans="4:6" x14ac:dyDescent="0.25">
      <c r="D19" s="17"/>
      <c r="E19" s="17" t="s">
        <v>101</v>
      </c>
      <c r="F19" s="17" t="s">
        <v>140</v>
      </c>
    </row>
    <row r="20" spans="4:6" x14ac:dyDescent="0.25">
      <c r="D20" s="17"/>
      <c r="E20" s="17" t="s">
        <v>142</v>
      </c>
      <c r="F20" s="17" t="s">
        <v>143</v>
      </c>
    </row>
    <row r="21" spans="4:6" ht="15.75" customHeight="1" x14ac:dyDescent="0.25">
      <c r="D21" s="17"/>
      <c r="E21" s="17" t="s">
        <v>144</v>
      </c>
      <c r="F21" s="17" t="s">
        <v>145</v>
      </c>
    </row>
    <row r="22" spans="4:6" ht="15.75" customHeight="1" x14ac:dyDescent="0.25">
      <c r="D22" s="17"/>
      <c r="E22" s="17" t="s">
        <v>147</v>
      </c>
      <c r="F22" s="17" t="s">
        <v>148</v>
      </c>
    </row>
    <row r="23" spans="4:6" ht="15.75" customHeight="1" x14ac:dyDescent="0.25">
      <c r="D23" s="17"/>
      <c r="E23" s="17" t="s">
        <v>150</v>
      </c>
      <c r="F23" s="17" t="s">
        <v>151</v>
      </c>
    </row>
    <row r="24" spans="4:6" ht="15.75" customHeight="1" x14ac:dyDescent="0.25">
      <c r="D24" s="17"/>
      <c r="E24" s="17" t="s">
        <v>153</v>
      </c>
      <c r="F24" s="17" t="s">
        <v>154</v>
      </c>
    </row>
    <row r="25" spans="4:6" ht="15.75" customHeight="1" x14ac:dyDescent="0.25">
      <c r="D25" s="17"/>
      <c r="E25" s="17" t="s">
        <v>156</v>
      </c>
      <c r="F25" s="17" t="s">
        <v>157</v>
      </c>
    </row>
    <row r="26" spans="4:6" ht="15.75" customHeight="1" x14ac:dyDescent="0.25">
      <c r="D26" s="17"/>
      <c r="E26" s="17" t="s">
        <v>159</v>
      </c>
      <c r="F26" s="17" t="s">
        <v>160</v>
      </c>
    </row>
    <row r="27" spans="4:6" ht="15.75" customHeight="1" x14ac:dyDescent="0.25">
      <c r="D27" s="17"/>
      <c r="E27" s="17" t="s">
        <v>162</v>
      </c>
      <c r="F27" s="17" t="s">
        <v>163</v>
      </c>
    </row>
    <row r="28" spans="4:6" ht="15.75" customHeight="1" x14ac:dyDescent="0.25">
      <c r="D28" s="17"/>
      <c r="E28" s="17" t="s">
        <v>164</v>
      </c>
      <c r="F28" s="17" t="s">
        <v>165</v>
      </c>
    </row>
    <row r="29" spans="4:6" ht="15.75" customHeight="1" x14ac:dyDescent="0.25">
      <c r="D29" s="17"/>
      <c r="E29" s="17" t="s">
        <v>167</v>
      </c>
      <c r="F29" s="17" t="s">
        <v>168</v>
      </c>
    </row>
    <row r="30" spans="4:6" ht="15.75" customHeight="1" x14ac:dyDescent="0.25">
      <c r="D30" s="17"/>
      <c r="E30" s="17" t="s">
        <v>170</v>
      </c>
      <c r="F30" s="17" t="s">
        <v>171</v>
      </c>
    </row>
    <row r="31" spans="4:6" ht="15.75" customHeight="1" x14ac:dyDescent="0.25">
      <c r="D31" s="17"/>
      <c r="E31" s="17" t="s">
        <v>173</v>
      </c>
      <c r="F31" s="17" t="s">
        <v>174</v>
      </c>
    </row>
    <row r="32" spans="4:6" ht="15.75" customHeight="1" x14ac:dyDescent="0.25">
      <c r="D32" s="17"/>
      <c r="E32" s="17" t="s">
        <v>177</v>
      </c>
      <c r="F32" s="17" t="s">
        <v>178</v>
      </c>
    </row>
    <row r="33" spans="4:6" ht="15.75" customHeight="1" x14ac:dyDescent="0.25">
      <c r="D33" s="17"/>
      <c r="E33" s="17" t="s">
        <v>180</v>
      </c>
      <c r="F33" s="17" t="s">
        <v>181</v>
      </c>
    </row>
    <row r="34" spans="4:6" ht="15.75" customHeight="1" x14ac:dyDescent="0.25">
      <c r="D34" s="17"/>
      <c r="E34" s="17" t="s">
        <v>183</v>
      </c>
      <c r="F34" s="17" t="s">
        <v>184</v>
      </c>
    </row>
    <row r="35" spans="4:6" ht="15.75" customHeight="1" x14ac:dyDescent="0.25">
      <c r="D35" s="17"/>
      <c r="E35" s="17" t="s">
        <v>186</v>
      </c>
      <c r="F35" s="17" t="s">
        <v>187</v>
      </c>
    </row>
    <row r="36" spans="4:6" ht="15.75" customHeight="1" x14ac:dyDescent="0.25">
      <c r="D36" s="17"/>
      <c r="E36" s="17" t="s">
        <v>188</v>
      </c>
      <c r="F36" s="17" t="s">
        <v>189</v>
      </c>
    </row>
    <row r="37" spans="4:6" ht="15.75" customHeight="1" x14ac:dyDescent="0.25">
      <c r="D37" s="17"/>
      <c r="E37" s="17" t="s">
        <v>191</v>
      </c>
      <c r="F37" s="17" t="s">
        <v>192</v>
      </c>
    </row>
    <row r="38" spans="4:6" ht="15.75" customHeight="1" x14ac:dyDescent="0.25">
      <c r="D38" s="17"/>
      <c r="E38" s="17" t="s">
        <v>194</v>
      </c>
      <c r="F38" s="17" t="s">
        <v>195</v>
      </c>
    </row>
    <row r="39" spans="4:6" ht="15.75" customHeight="1" x14ac:dyDescent="0.25">
      <c r="D39" s="17"/>
      <c r="E39" s="17" t="s">
        <v>197</v>
      </c>
      <c r="F39" s="17" t="s">
        <v>198</v>
      </c>
    </row>
    <row r="40" spans="4:6" ht="15.75" customHeight="1" x14ac:dyDescent="0.25">
      <c r="D40" s="17"/>
      <c r="E40" s="17" t="s">
        <v>200</v>
      </c>
      <c r="F40" s="17" t="s">
        <v>201</v>
      </c>
    </row>
    <row r="41" spans="4:6" ht="15.75" customHeight="1" x14ac:dyDescent="0.25">
      <c r="D41" s="17"/>
      <c r="E41" s="17" t="s">
        <v>203</v>
      </c>
      <c r="F41" s="17" t="s">
        <v>204</v>
      </c>
    </row>
    <row r="42" spans="4:6" ht="15.75" customHeight="1" x14ac:dyDescent="0.25">
      <c r="D42" s="17"/>
      <c r="E42" s="17" t="s">
        <v>206</v>
      </c>
      <c r="F42" s="17" t="s">
        <v>207</v>
      </c>
    </row>
    <row r="43" spans="4:6" ht="15.75" customHeight="1" x14ac:dyDescent="0.25">
      <c r="D43" s="17"/>
      <c r="E43" s="17" t="s">
        <v>209</v>
      </c>
      <c r="F43" s="17" t="s">
        <v>210</v>
      </c>
    </row>
    <row r="44" spans="4:6" ht="15.75" customHeight="1" x14ac:dyDescent="0.25">
      <c r="D44" s="17"/>
      <c r="E44" s="17" t="s">
        <v>212</v>
      </c>
      <c r="F44" s="17" t="s">
        <v>213</v>
      </c>
    </row>
    <row r="45" spans="4:6" ht="15.75" customHeight="1" x14ac:dyDescent="0.25">
      <c r="D45" s="17"/>
      <c r="E45" s="17" t="s">
        <v>215</v>
      </c>
      <c r="F45" s="17" t="s">
        <v>216</v>
      </c>
    </row>
    <row r="46" spans="4:6" ht="15.75" customHeight="1" x14ac:dyDescent="0.25">
      <c r="D46" s="17"/>
      <c r="E46" s="17"/>
      <c r="F46" s="17" t="s">
        <v>219</v>
      </c>
    </row>
    <row r="47" spans="4:6" ht="15.75" customHeight="1" x14ac:dyDescent="0.25">
      <c r="D47" s="17"/>
      <c r="E47" s="17"/>
      <c r="F47" s="17" t="s">
        <v>221</v>
      </c>
    </row>
    <row r="48" spans="4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23.5703125" customWidth="1"/>
    <col min="3" max="3" width="37.85546875" customWidth="1"/>
    <col min="4" max="4" width="24.5703125" customWidth="1"/>
    <col min="5" max="5" width="12.5703125" customWidth="1"/>
    <col min="6" max="6" width="27.5703125" customWidth="1"/>
    <col min="7" max="7" width="26" customWidth="1"/>
    <col min="8" max="26" width="10.7109375" customWidth="1"/>
  </cols>
  <sheetData>
    <row r="2" spans="2:7" x14ac:dyDescent="0.25">
      <c r="B2" s="105" t="s">
        <v>374</v>
      </c>
      <c r="C2" s="106"/>
      <c r="D2" s="106"/>
      <c r="E2" s="106"/>
      <c r="F2" s="106"/>
      <c r="G2" s="107"/>
    </row>
    <row r="3" spans="2:7" x14ac:dyDescent="0.25">
      <c r="B3" s="4" t="s">
        <v>13</v>
      </c>
      <c r="C3" s="4" t="s">
        <v>14</v>
      </c>
      <c r="D3" s="4" t="s">
        <v>15</v>
      </c>
      <c r="E3" s="4" t="s">
        <v>16</v>
      </c>
      <c r="F3" s="5" t="s">
        <v>19</v>
      </c>
      <c r="G3" s="6" t="s">
        <v>20</v>
      </c>
    </row>
    <row r="4" spans="2:7" x14ac:dyDescent="0.25">
      <c r="B4" s="8" t="s">
        <v>375</v>
      </c>
      <c r="C4" s="8" t="s">
        <v>376</v>
      </c>
      <c r="D4" s="8" t="s">
        <v>377</v>
      </c>
      <c r="E4" s="8" t="s">
        <v>378</v>
      </c>
      <c r="F4" s="25">
        <v>100000</v>
      </c>
      <c r="G4" s="8"/>
    </row>
    <row r="5" spans="2:7" x14ac:dyDescent="0.25">
      <c r="B5" s="8" t="s">
        <v>375</v>
      </c>
      <c r="C5" s="8" t="s">
        <v>72</v>
      </c>
      <c r="D5" s="8" t="s">
        <v>47</v>
      </c>
      <c r="E5" s="8" t="s">
        <v>30</v>
      </c>
      <c r="F5" s="25">
        <v>39600</v>
      </c>
      <c r="G5" s="8"/>
    </row>
    <row r="6" spans="2:7" x14ac:dyDescent="0.25">
      <c r="B6" s="8" t="s">
        <v>375</v>
      </c>
      <c r="C6" s="8" t="s">
        <v>281</v>
      </c>
      <c r="D6" s="8" t="s">
        <v>71</v>
      </c>
      <c r="E6" s="8" t="s">
        <v>39</v>
      </c>
      <c r="F6" s="25">
        <v>145000</v>
      </c>
      <c r="G6" s="8"/>
    </row>
    <row r="7" spans="2:7" x14ac:dyDescent="0.25">
      <c r="B7" s="8" t="s">
        <v>375</v>
      </c>
      <c r="C7" s="8" t="s">
        <v>379</v>
      </c>
      <c r="D7" s="8" t="s">
        <v>380</v>
      </c>
      <c r="E7" s="8" t="s">
        <v>39</v>
      </c>
      <c r="F7" s="14" t="s">
        <v>29</v>
      </c>
      <c r="G7" s="43">
        <v>78000</v>
      </c>
    </row>
    <row r="8" spans="2:7" x14ac:dyDescent="0.25">
      <c r="B8" s="8" t="s">
        <v>375</v>
      </c>
      <c r="C8" s="8" t="s">
        <v>381</v>
      </c>
      <c r="D8" s="8" t="s">
        <v>382</v>
      </c>
      <c r="E8" s="8" t="s">
        <v>33</v>
      </c>
      <c r="F8" s="25">
        <v>36000</v>
      </c>
      <c r="G8" s="8"/>
    </row>
    <row r="9" spans="2:7" x14ac:dyDescent="0.25">
      <c r="B9" s="8" t="s">
        <v>383</v>
      </c>
      <c r="C9" s="8" t="s">
        <v>291</v>
      </c>
      <c r="D9" s="8" t="s">
        <v>47</v>
      </c>
      <c r="E9" s="8" t="s">
        <v>30</v>
      </c>
      <c r="F9" s="25">
        <v>14400</v>
      </c>
      <c r="G9" s="8"/>
    </row>
    <row r="10" spans="2:7" x14ac:dyDescent="0.25">
      <c r="B10" s="8" t="s">
        <v>384</v>
      </c>
      <c r="C10" s="8" t="s">
        <v>385</v>
      </c>
      <c r="D10" s="8" t="s">
        <v>386</v>
      </c>
      <c r="E10" s="8" t="s">
        <v>387</v>
      </c>
      <c r="F10" s="25">
        <v>250000</v>
      </c>
      <c r="G10" s="8"/>
    </row>
    <row r="11" spans="2:7" x14ac:dyDescent="0.25">
      <c r="B11" s="8" t="s">
        <v>388</v>
      </c>
      <c r="C11" s="8"/>
      <c r="D11" s="8"/>
      <c r="E11" s="8"/>
      <c r="F11" s="8"/>
      <c r="G11" s="8"/>
    </row>
    <row r="12" spans="2:7" x14ac:dyDescent="0.25">
      <c r="B12" s="8" t="s">
        <v>343</v>
      </c>
      <c r="C12" s="8" t="s">
        <v>291</v>
      </c>
      <c r="D12" s="8" t="s">
        <v>47</v>
      </c>
      <c r="E12" s="8" t="s">
        <v>30</v>
      </c>
      <c r="F12" s="25">
        <v>38520</v>
      </c>
      <c r="G12" s="8"/>
    </row>
    <row r="13" spans="2:7" x14ac:dyDescent="0.25">
      <c r="B13" s="8" t="s">
        <v>343</v>
      </c>
      <c r="C13" s="8" t="s">
        <v>389</v>
      </c>
      <c r="D13" s="8" t="s">
        <v>390</v>
      </c>
      <c r="E13" s="8" t="s">
        <v>378</v>
      </c>
      <c r="F13" s="25">
        <v>149650</v>
      </c>
      <c r="G13" s="8"/>
    </row>
    <row r="14" spans="2:7" x14ac:dyDescent="0.25">
      <c r="B14" s="8" t="s">
        <v>343</v>
      </c>
      <c r="C14" s="8" t="s">
        <v>176</v>
      </c>
      <c r="D14" s="8" t="s">
        <v>24</v>
      </c>
      <c r="E14" s="8" t="s">
        <v>378</v>
      </c>
      <c r="F14" s="25">
        <v>163000</v>
      </c>
      <c r="G14" s="8"/>
    </row>
    <row r="15" spans="2:7" x14ac:dyDescent="0.25">
      <c r="B15" s="8" t="s">
        <v>343</v>
      </c>
      <c r="C15" s="8" t="s">
        <v>391</v>
      </c>
      <c r="D15" s="8"/>
      <c r="E15" s="8"/>
      <c r="F15" s="25">
        <v>17000</v>
      </c>
      <c r="G15" s="8"/>
    </row>
    <row r="16" spans="2:7" x14ac:dyDescent="0.25">
      <c r="B16" s="8" t="s">
        <v>392</v>
      </c>
      <c r="C16" s="8"/>
      <c r="D16" s="8"/>
      <c r="E16" s="8"/>
      <c r="F16" s="8"/>
      <c r="G16" s="8"/>
    </row>
    <row r="17" spans="2:7" x14ac:dyDescent="0.25">
      <c r="B17" s="8" t="s">
        <v>393</v>
      </c>
      <c r="C17" s="8" t="s">
        <v>394</v>
      </c>
      <c r="D17" s="8" t="s">
        <v>395</v>
      </c>
      <c r="E17" s="8" t="s">
        <v>396</v>
      </c>
      <c r="F17" s="25">
        <v>3363</v>
      </c>
      <c r="G17" s="8"/>
    </row>
    <row r="18" spans="2:7" x14ac:dyDescent="0.25">
      <c r="B18" s="8" t="s">
        <v>344</v>
      </c>
      <c r="C18" s="8" t="s">
        <v>291</v>
      </c>
      <c r="D18" s="8" t="s">
        <v>47</v>
      </c>
      <c r="E18" s="8" t="s">
        <v>30</v>
      </c>
      <c r="F18" s="25">
        <v>43200</v>
      </c>
      <c r="G18" s="8"/>
    </row>
    <row r="19" spans="2:7" x14ac:dyDescent="0.25">
      <c r="B19" s="8" t="s">
        <v>344</v>
      </c>
      <c r="C19" s="8" t="s">
        <v>389</v>
      </c>
      <c r="D19" s="8" t="s">
        <v>390</v>
      </c>
      <c r="E19" s="8" t="s">
        <v>378</v>
      </c>
      <c r="F19" s="25">
        <v>167608</v>
      </c>
      <c r="G19" s="8"/>
    </row>
    <row r="20" spans="2:7" x14ac:dyDescent="0.25">
      <c r="B20" s="8" t="s">
        <v>344</v>
      </c>
      <c r="C20" s="8" t="s">
        <v>176</v>
      </c>
      <c r="D20" s="8" t="s">
        <v>24</v>
      </c>
      <c r="E20" s="8" t="s">
        <v>378</v>
      </c>
      <c r="F20" s="25">
        <v>194000</v>
      </c>
      <c r="G20" s="8"/>
    </row>
    <row r="21" spans="2:7" ht="15.75" customHeight="1" x14ac:dyDescent="0.25">
      <c r="B21" s="8" t="s">
        <v>344</v>
      </c>
      <c r="C21" s="8" t="s">
        <v>391</v>
      </c>
      <c r="D21" s="8"/>
      <c r="E21" s="8"/>
      <c r="F21" s="25">
        <v>20000</v>
      </c>
      <c r="G21" s="8"/>
    </row>
    <row r="22" spans="2:7" ht="15.75" customHeight="1" x14ac:dyDescent="0.25">
      <c r="B22" s="8" t="s">
        <v>397</v>
      </c>
      <c r="C22" s="8" t="s">
        <v>299</v>
      </c>
      <c r="D22" s="8" t="s">
        <v>48</v>
      </c>
      <c r="E22" s="8" t="s">
        <v>378</v>
      </c>
      <c r="F22" s="15" t="s">
        <v>42</v>
      </c>
      <c r="G22" s="44">
        <v>13000</v>
      </c>
    </row>
    <row r="23" spans="2:7" ht="15.75" customHeight="1" x14ac:dyDescent="0.25">
      <c r="B23" s="8" t="s">
        <v>398</v>
      </c>
      <c r="C23" s="8" t="s">
        <v>86</v>
      </c>
      <c r="D23" s="8" t="s">
        <v>399</v>
      </c>
      <c r="E23" s="8" t="s">
        <v>378</v>
      </c>
      <c r="F23" s="25">
        <v>270000</v>
      </c>
      <c r="G23" s="8"/>
    </row>
    <row r="24" spans="2:7" ht="15.75" customHeight="1" x14ac:dyDescent="0.25">
      <c r="B24" s="8" t="s">
        <v>398</v>
      </c>
      <c r="C24" s="8" t="s">
        <v>400</v>
      </c>
      <c r="D24" s="8" t="s">
        <v>67</v>
      </c>
      <c r="E24" s="8" t="s">
        <v>39</v>
      </c>
      <c r="F24" s="25">
        <v>220000</v>
      </c>
      <c r="G24" s="8"/>
    </row>
    <row r="25" spans="2:7" ht="15.75" customHeight="1" x14ac:dyDescent="0.25">
      <c r="B25" s="8" t="s">
        <v>401</v>
      </c>
      <c r="C25" s="8" t="s">
        <v>86</v>
      </c>
      <c r="D25" s="8" t="s">
        <v>35</v>
      </c>
      <c r="E25" s="8" t="s">
        <v>378</v>
      </c>
      <c r="F25" s="25">
        <v>14085</v>
      </c>
      <c r="G25" s="8"/>
    </row>
    <row r="26" spans="2:7" ht="15.75" customHeight="1" x14ac:dyDescent="0.25">
      <c r="B26" s="8" t="s">
        <v>7</v>
      </c>
      <c r="C26" s="19">
        <f t="array" aca="1" ref="C26" ca="1">COUNTA(_xludf.UNIQUE(_xlws.FILTER(C4:C25,C4:C25&lt;&gt;"")))</f>
        <v>1</v>
      </c>
      <c r="D26" s="19">
        <f t="array" aca="1" ref="D26" ca="1">COUNTA(_xludf.UNIQUE(_xlws.FILTER(D4:D25,D4:D25&lt;&gt;"")))</f>
        <v>1</v>
      </c>
      <c r="E26" s="19">
        <f t="array" aca="1" ref="E26" ca="1">COUNTA(_xludf.UNIQUE(_xlws.FILTER(E4:E25,E4:E25&lt;&gt;"")))</f>
        <v>1</v>
      </c>
      <c r="F26" s="12">
        <f>SUM(F4:F25)</f>
        <v>1885426</v>
      </c>
      <c r="G26" s="19">
        <f t="array" aca="1" ref="G26" ca="1">COUNTA(_xludf.UNIQUE(_xlws.FILTER(G4:G25,G4:G25&lt;&gt;"")))</f>
        <v>1</v>
      </c>
    </row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G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Produccion</vt:lpstr>
      <vt:lpstr>Capacidad instalada 2024</vt:lpstr>
      <vt:lpstr>Capacidad instalada 2021</vt:lpstr>
      <vt:lpstr>Produccion local vs nacional</vt:lpstr>
      <vt:lpstr>Impo y Expo</vt:lpstr>
      <vt:lpstr>Consumo aparente nacional</vt:lpstr>
      <vt:lpstr>Materias primas</vt:lpstr>
      <vt:lpstr>Clasificacion de bienes</vt:lpstr>
      <vt:lpstr>Capacidad instalada ind quim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Valentino Pelliccetti</cp:lastModifiedBy>
  <dcterms:created xsi:type="dcterms:W3CDTF">2015-06-05T18:19:34Z</dcterms:created>
  <dcterms:modified xsi:type="dcterms:W3CDTF">2026-05-25T18:35:13Z</dcterms:modified>
</cp:coreProperties>
</file>