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1.xml" ContentType="application/vnd.openxmlformats-officedocument.spreadsheetml.comments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8.xml" ContentType="application/vnd.openxmlformats-officedocument.spreadsheetml.table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len\Desktop\Uni\PPS\IAE Exportaciones\Datos\"/>
    </mc:Choice>
  </mc:AlternateContent>
  <xr:revisionPtr revIDLastSave="0" documentId="13_ncr:1_{053727F7-0AEE-4EA9-A2FB-660F5F240C6B}" xr6:coauthVersionLast="47" xr6:coauthVersionMax="47" xr10:uidLastSave="{00000000-0000-0000-0000-000000000000}"/>
  <bookViews>
    <workbookView xWindow="-120" yWindow="-120" windowWidth="29040" windowHeight="15840" firstSheet="1" activeTab="5" xr2:uid="{EEDADE0A-D041-4EB8-AF40-E7C4A053D06D}"/>
  </bookViews>
  <sheets>
    <sheet name="Exportaciones" sheetId="1" r:id="rId1"/>
    <sheet name="Evolucion oleag y cerea" sheetId="2" r:id="rId2"/>
    <sheet name="Calculo deflactor" sheetId="8" r:id="rId3"/>
    <sheet name="Grandes rubros 2021-2025" sheetId="7" r:id="rId4"/>
    <sheet name="Produccion 2018 - 2025" sheetId="5" r:id="rId5"/>
    <sheet name="Cantidades expo vs prod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7" i="7" l="1"/>
  <c r="G13" i="7"/>
  <c r="G14" i="7"/>
  <c r="G15" i="7"/>
  <c r="G16" i="7"/>
  <c r="B13" i="7"/>
  <c r="B14" i="7"/>
  <c r="B15" i="7"/>
  <c r="B16" i="7"/>
  <c r="B17" i="7"/>
  <c r="F13" i="7"/>
  <c r="F14" i="7"/>
  <c r="F15" i="7"/>
  <c r="F16" i="7"/>
  <c r="F17" i="7"/>
  <c r="K3" i="2"/>
  <c r="K4" i="2"/>
  <c r="K5" i="2"/>
  <c r="K6" i="2"/>
  <c r="K7" i="2"/>
  <c r="J4" i="2"/>
  <c r="J5" i="2"/>
  <c r="J6" i="2"/>
  <c r="J7" i="2"/>
  <c r="J3" i="2"/>
  <c r="O23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M3" i="8"/>
  <c r="M4" i="8"/>
  <c r="M5" i="8"/>
  <c r="M6" i="8"/>
  <c r="M7" i="8"/>
  <c r="E14" i="7"/>
  <c r="E15" i="7"/>
  <c r="E16" i="7"/>
  <c r="E13" i="7"/>
  <c r="D14" i="7"/>
  <c r="D15" i="7"/>
  <c r="D16" i="7"/>
  <c r="D17" i="7"/>
  <c r="D13" i="7"/>
  <c r="C14" i="7"/>
  <c r="C15" i="7"/>
  <c r="C16" i="7"/>
  <c r="C13" i="7"/>
  <c r="P22" i="8"/>
  <c r="P14" i="8"/>
  <c r="P15" i="8"/>
  <c r="P16" i="8"/>
  <c r="P17" i="8"/>
  <c r="P18" i="8"/>
  <c r="P19" i="8"/>
  <c r="P20" i="8"/>
  <c r="P21" i="8"/>
  <c r="P13" i="8"/>
  <c r="B9" i="7"/>
  <c r="C9" i="7"/>
  <c r="C17" i="7" s="1"/>
  <c r="D9" i="7"/>
  <c r="E9" i="7"/>
  <c r="E17" i="7" s="1"/>
  <c r="F9" i="7"/>
  <c r="G28" i="5"/>
  <c r="H28" i="5"/>
  <c r="J28" i="5"/>
  <c r="K28" i="5"/>
  <c r="I28" i="5"/>
  <c r="N3" i="4"/>
  <c r="N4" i="4"/>
  <c r="N5" i="4"/>
  <c r="N6" i="4"/>
  <c r="N7" i="4"/>
  <c r="L3" i="4"/>
  <c r="L4" i="4"/>
  <c r="L5" i="4"/>
  <c r="L6" i="4"/>
  <c r="L7" i="4"/>
  <c r="R18" i="1"/>
  <c r="S7" i="1" s="1"/>
  <c r="N37" i="1"/>
  <c r="N36" i="1"/>
  <c r="M37" i="1"/>
  <c r="M36" i="1"/>
  <c r="C17" i="1"/>
  <c r="P18" i="1"/>
  <c r="M18" i="1"/>
  <c r="N4" i="1" s="1"/>
  <c r="K18" i="1"/>
  <c r="I18" i="1"/>
  <c r="J4" i="1" s="1"/>
  <c r="G18" i="1"/>
  <c r="E18" i="1"/>
  <c r="F14" i="1" s="1"/>
  <c r="C18" i="1"/>
  <c r="R17" i="1"/>
  <c r="P17" i="1"/>
  <c r="M17" i="1"/>
  <c r="K17" i="1"/>
  <c r="I17" i="1"/>
  <c r="G17" i="1"/>
  <c r="E17" i="1"/>
  <c r="F17" i="1" s="1"/>
  <c r="H6" i="1"/>
  <c r="S4" i="1" l="1"/>
  <c r="J17" i="1"/>
  <c r="S17" i="1"/>
  <c r="F4" i="1"/>
  <c r="Q17" i="1"/>
  <c r="Q6" i="1"/>
  <c r="H17" i="1"/>
  <c r="L17" i="1"/>
  <c r="D17" i="1"/>
  <c r="N17" i="1"/>
  <c r="H8" i="1"/>
  <c r="L16" i="1"/>
  <c r="Q4" i="1"/>
  <c r="Q16" i="1"/>
  <c r="Q12" i="1"/>
  <c r="Q8" i="1"/>
  <c r="N10" i="1"/>
  <c r="N6" i="1"/>
  <c r="N14" i="1"/>
  <c r="L12" i="1"/>
  <c r="L8" i="1"/>
  <c r="L4" i="1"/>
  <c r="H4" i="1"/>
  <c r="H16" i="1"/>
  <c r="H12" i="1"/>
  <c r="F10" i="1"/>
  <c r="F6" i="1"/>
  <c r="D5" i="1"/>
  <c r="D4" i="1"/>
  <c r="D13" i="1"/>
  <c r="D9" i="1"/>
  <c r="J10" i="1"/>
  <c r="S10" i="1"/>
  <c r="D14" i="1"/>
  <c r="D10" i="1"/>
  <c r="D6" i="1"/>
  <c r="F15" i="1"/>
  <c r="F11" i="1"/>
  <c r="F7" i="1"/>
  <c r="H13" i="1"/>
  <c r="H9" i="1"/>
  <c r="H5" i="1"/>
  <c r="J15" i="1"/>
  <c r="J11" i="1"/>
  <c r="J7" i="1"/>
  <c r="L13" i="1"/>
  <c r="L9" i="1"/>
  <c r="L5" i="1"/>
  <c r="N15" i="1"/>
  <c r="N11" i="1"/>
  <c r="N7" i="1"/>
  <c r="Q13" i="1"/>
  <c r="Q9" i="1"/>
  <c r="Q5" i="1"/>
  <c r="S15" i="1"/>
  <c r="S11" i="1"/>
  <c r="J6" i="1"/>
  <c r="S14" i="1"/>
  <c r="S6" i="1"/>
  <c r="D16" i="1"/>
  <c r="D12" i="1"/>
  <c r="D8" i="1"/>
  <c r="F13" i="1"/>
  <c r="F9" i="1"/>
  <c r="F5" i="1"/>
  <c r="H15" i="1"/>
  <c r="H11" i="1"/>
  <c r="H7" i="1"/>
  <c r="J13" i="1"/>
  <c r="J9" i="1"/>
  <c r="J5" i="1"/>
  <c r="L15" i="1"/>
  <c r="L11" i="1"/>
  <c r="L7" i="1"/>
  <c r="N13" i="1"/>
  <c r="N9" i="1"/>
  <c r="N5" i="1"/>
  <c r="Q15" i="1"/>
  <c r="Q11" i="1"/>
  <c r="Q7" i="1"/>
  <c r="S13" i="1"/>
  <c r="S9" i="1"/>
  <c r="S5" i="1"/>
  <c r="J14" i="1"/>
  <c r="D15" i="1"/>
  <c r="D11" i="1"/>
  <c r="D7" i="1"/>
  <c r="F16" i="1"/>
  <c r="F12" i="1"/>
  <c r="F8" i="1"/>
  <c r="H14" i="1"/>
  <c r="H10" i="1"/>
  <c r="J16" i="1"/>
  <c r="J12" i="1"/>
  <c r="J8" i="1"/>
  <c r="L14" i="1"/>
  <c r="L10" i="1"/>
  <c r="L6" i="1"/>
  <c r="N16" i="1"/>
  <c r="N12" i="1"/>
  <c r="N8" i="1"/>
  <c r="Q14" i="1"/>
  <c r="Q10" i="1"/>
  <c r="S16" i="1"/>
  <c r="S12" i="1"/>
  <c r="S8" i="1"/>
  <c r="N18" i="1" l="1"/>
  <c r="S18" i="1"/>
  <c r="J18" i="1"/>
  <c r="H18" i="1"/>
  <c r="L18" i="1"/>
  <c r="D18" i="1"/>
  <c r="Q18" i="1"/>
  <c r="F1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5" authorId="0" shapeId="0" xr:uid="{00000000-0006-0000-0000-000001000000}">
      <text>
        <r>
          <rPr>
            <sz val="10"/>
            <rFont val="Arial"/>
            <family val="2"/>
          </rPr>
          <t>2023 con revisión a la fecha del informe de diciembre 2024 (INDEC suele revisar valores de meses/años anteriores). Cifra levemente distinta a publicaciones previas (ej. 14.430 en el informe de dic-2023).</t>
        </r>
      </text>
    </comment>
    <comment ref="D13" authorId="0" shapeId="0" xr:uid="{0DBE9EC3-5DE8-4B43-BC15-6202DAA08BB5}">
      <text>
        <r>
          <rPr>
            <sz val="10"/>
            <rFont val="Arial"/>
            <family val="2"/>
          </rPr>
          <t>2023 con revisión a la fecha del informe de diciembre 2024 (INDEC suele revisar valores de meses/años anteriores). Cifra levemente distinta a publicaciones previas (ej. 14.430 en el informe de dic-2023).</t>
        </r>
      </text>
    </comment>
  </commentList>
</comments>
</file>

<file path=xl/sharedStrings.xml><?xml version="1.0" encoding="utf-8"?>
<sst xmlns="http://schemas.openxmlformats.org/spreadsheetml/2006/main" count="273" uniqueCount="115">
  <si>
    <t>Año</t>
  </si>
  <si>
    <t>Complejo forestal</t>
  </si>
  <si>
    <t>Complejo azucarero</t>
  </si>
  <si>
    <t>Complejo avícola</t>
  </si>
  <si>
    <t>Complejo miel</t>
  </si>
  <si>
    <t>Complejo yerba mate</t>
  </si>
  <si>
    <t>Complejo equino</t>
  </si>
  <si>
    <t>Complejo té</t>
  </si>
  <si>
    <t>Total</t>
  </si>
  <si>
    <t>2018</t>
  </si>
  <si>
    <t>2019</t>
  </si>
  <si>
    <t>2020</t>
  </si>
  <si>
    <t>2021</t>
  </si>
  <si>
    <t>2022</t>
  </si>
  <si>
    <t>2023</t>
  </si>
  <si>
    <t>2024</t>
  </si>
  <si>
    <t>2025</t>
  </si>
  <si>
    <t>2018%</t>
  </si>
  <si>
    <t>2019%</t>
  </si>
  <si>
    <t>2020%</t>
  </si>
  <si>
    <t>2021%</t>
  </si>
  <si>
    <t>2022%</t>
  </si>
  <si>
    <t>2023%</t>
  </si>
  <si>
    <t>2024%</t>
  </si>
  <si>
    <t>2025%</t>
  </si>
  <si>
    <t>Otros complejos</t>
  </si>
  <si>
    <t>Cerealero</t>
  </si>
  <si>
    <t>Oleaginoso</t>
  </si>
  <si>
    <t>Bovino</t>
  </si>
  <si>
    <t>Frutícola</t>
  </si>
  <si>
    <t>Pesquero</t>
  </si>
  <si>
    <t>Hortícola</t>
  </si>
  <si>
    <t>Gráfico 2. Evolución de las exportaciones de los
complejos del sector agropecuario y agroindustrial 2021-2025</t>
  </si>
  <si>
    <t>Gráfico 1. Composición de las exportaciones del
sector agropecuario en sus distintos complejos 2025</t>
  </si>
  <si>
    <t>Variacion</t>
  </si>
  <si>
    <t>Soja</t>
  </si>
  <si>
    <t>Girasol</t>
  </si>
  <si>
    <t>Maíz</t>
  </si>
  <si>
    <t>Trigo</t>
  </si>
  <si>
    <t>Cebada</t>
  </si>
  <si>
    <t>Cosecha</t>
  </si>
  <si>
    <t>Variacion %</t>
  </si>
  <si>
    <t>2025/26</t>
  </si>
  <si>
    <t>Trigo total</t>
  </si>
  <si>
    <t>2024/25</t>
  </si>
  <si>
    <t>2023/24</t>
  </si>
  <si>
    <t>2022/23</t>
  </si>
  <si>
    <t>2021/22</t>
  </si>
  <si>
    <t>2020/21</t>
  </si>
  <si>
    <t>2019/20</t>
  </si>
  <si>
    <t>2018/19</t>
  </si>
  <si>
    <t>2017/18</t>
  </si>
  <si>
    <t>Soja total</t>
  </si>
  <si>
    <t>Cebada total</t>
  </si>
  <si>
    <t>Campaña</t>
  </si>
  <si>
    <t xml:space="preserve">Soja </t>
  </si>
  <si>
    <t>Gráfico 5. Cantidades producidas por cultivo entre 2021 y 2025 en toneladas</t>
  </si>
  <si>
    <t>Producción</t>
  </si>
  <si>
    <t>Cultivo</t>
  </si>
  <si>
    <t>Cantidades producidas</t>
  </si>
  <si>
    <t>Cantidades exportadas</t>
  </si>
  <si>
    <t>Gráfico 6. Cantidades exportadas
contra cantidades producidas
en toneladas</t>
  </si>
  <si>
    <t>% Exportado</t>
  </si>
  <si>
    <t>Nota: esta base (complejos_exportadores_serie_2002_2025) clasifica las exportaciones por COMPLEJO EXPORTADOR (oleaginoso, cerealero, automotriz, etc.), una apertura distinta de la de GRANDES RUBROS (PP/MOA/MOI/CyE) que usa el Gráfico 4. Por eso estos valores se tomaron directamente de los informes ICA de INDEC, no de la planilla complejos_exportadores.</t>
  </si>
  <si>
    <t>Fuente: INDEC, Dirección Nacional de Estadísticas del Sector Externo y Cuentas Internacionales (Intercambio Comercial Argentino - ICA). Cifras anuales por grandes rubros.</t>
  </si>
  <si>
    <t>Total exportaciones</t>
  </si>
  <si>
    <t>Combustibles y energía (CyE)</t>
  </si>
  <si>
    <t>Manufacturas de origen industrial (MOI)</t>
  </si>
  <si>
    <t>Manufacturas de origen agropecuario (MOA)</t>
  </si>
  <si>
    <t>Productos primarios (PP)</t>
  </si>
  <si>
    <t>Rubro</t>
  </si>
  <si>
    <t>En millones de dólares (USD FOB)</t>
  </si>
  <si>
    <t>Exportaciones argentinas por grandes rubros (2021-2025)</t>
  </si>
  <si>
    <t>https://app.powerbi.com/view?r=eyJrIjoiMGEyNDY4ZDctYmE2YS00NmRiLTg5MzYtMjcwMzdmZTc1MzlkIiwidCI6ImNiODg0ZGI1LTI0ODUtNGY5Yi05MzhlLTNlNjIxZjIyMjU3YiIsImMiOjR9</t>
  </si>
  <si>
    <t>2021 D</t>
  </si>
  <si>
    <t>2022 D</t>
  </si>
  <si>
    <t>2023 D</t>
  </si>
  <si>
    <t>2024 D</t>
  </si>
  <si>
    <t>https://data.bls.gov/pdq/SurveyOutputServlet</t>
  </si>
  <si>
    <t>Consumer Price Index for All Urban Consumers (CPI-U)</t>
  </si>
  <si>
    <t>Original Data Value</t>
  </si>
  <si>
    <t>Series Id:</t>
  </si>
  <si>
    <t>CUUR0000SA0</t>
  </si>
  <si>
    <t>Not Seasonally Adjusted</t>
  </si>
  <si>
    <t>Series Title:</t>
  </si>
  <si>
    <t>All items in U.S. city average, all urban consumers, not seasonally adjusted</t>
  </si>
  <si>
    <t>Area:</t>
  </si>
  <si>
    <t>U.S. city average</t>
  </si>
  <si>
    <t>Item:</t>
  </si>
  <si>
    <t>All items</t>
  </si>
  <si>
    <t>Base Period:</t>
  </si>
  <si>
    <t>1982-84=100</t>
  </si>
  <si>
    <t>Years:</t>
  </si>
  <si>
    <t>2016 to 2026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</si>
  <si>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</si>
  <si>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</si>
  <si>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</si>
  <si>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</si>
  <si>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</si>
  <si>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</si>
  <si>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</si>
  <si>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</si>
  <si>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</si>
  <si>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</si>
  <si>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</si>
  <si>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</si>
  <si>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</si>
  <si>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HALF1</t>
  </si>
  <si>
    <t>HALF2</t>
  </si>
  <si>
    <t/>
  </si>
  <si>
    <t>Deflactor</t>
  </si>
  <si>
    <t>Columna1</t>
  </si>
  <si>
    <t>Indice promedio</t>
  </si>
  <si>
    <t>2025 D</t>
  </si>
  <si>
    <t>2026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</si>
</sst>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%"/>
    <numFmt numFmtId="166" formatCode="#0.000"/>
  </numFmts>
  <fonts count="2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rgb="FF000000"/>
      <name val="Calibri"/>
      <family val="2"/>
    </font>
    <font>
      <b/>
      <sz val="9"/>
      <color theme="1"/>
      <name val="Calibri"/>
      <family val="2"/>
    </font>
    <font>
      <b/>
      <sz val="9"/>
      <color rgb="FF000000"/>
      <name val="Calibri"/>
      <family val="2"/>
    </font>
    <font>
      <b/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0"/>
      <name val="Calibri"/>
      <family val="2"/>
    </font>
    <font>
      <sz val="9"/>
      <color theme="1"/>
      <name val="Calibri"/>
      <family val="2"/>
    </font>
    <font>
      <sz val="11"/>
      <color theme="1"/>
      <name val="Calibri"/>
      <family val="2"/>
      <charset val="1"/>
    </font>
    <font>
      <i/>
      <sz val="8"/>
      <color rgb="FF595959"/>
      <name val="Arial"/>
      <charset val="1"/>
    </font>
    <font>
      <i/>
      <sz val="10"/>
      <name val="Arial"/>
      <charset val="1"/>
    </font>
    <font>
      <b/>
      <sz val="13"/>
      <name val="Arial"/>
      <charset val="1"/>
    </font>
    <font>
      <sz val="10"/>
      <name val="Arial"/>
      <family val="2"/>
    </font>
    <font>
      <sz val="7"/>
      <name val="Calibri"/>
      <family val="2"/>
    </font>
    <font>
      <b/>
      <sz val="7"/>
      <name val="Calibri"/>
      <family val="2"/>
    </font>
    <font>
      <b/>
      <sz val="7"/>
      <color rgb="FFFFFFFF"/>
      <name val="Calibri"/>
      <family val="2"/>
    </font>
    <font>
      <sz val="11"/>
      <color indexed="8"/>
      <name val="Aptos Narrow"/>
      <family val="2"/>
      <scheme val="minor"/>
    </font>
    <font>
      <b/>
      <sz val="12"/>
      <color indexed="8"/>
      <name val="Arial"/>
    </font>
    <font>
      <sz val="10"/>
      <color indexed="8"/>
      <name val="Arial"/>
    </font>
    <font>
      <b/>
      <sz val="10"/>
      <color indexed="8"/>
      <name val="Arial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749992370372631"/>
        <bgColor theme="4" tint="0.79998168889431442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/>
        <bgColor rgb="FF993366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/>
      <bottom style="thick">
        <color auto="1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0" fontId="11" fillId="0" borderId="0"/>
    <xf numFmtId="0" fontId="19" fillId="0" borderId="0"/>
  </cellStyleXfs>
  <cellXfs count="97">
    <xf numFmtId="0" fontId="0" fillId="0" borderId="0" xfId="0"/>
    <xf numFmtId="0" fontId="0" fillId="0" borderId="1" xfId="0" applyBorder="1"/>
    <xf numFmtId="0" fontId="5" fillId="0" borderId="1" xfId="0" applyFont="1" applyBorder="1"/>
    <xf numFmtId="0" fontId="5" fillId="2" borderId="1" xfId="0" applyFont="1" applyFill="1" applyBorder="1" applyAlignment="1">
      <alignment horizontal="left"/>
    </xf>
    <xf numFmtId="3" fontId="4" fillId="2" borderId="1" xfId="0" applyNumberFormat="1" applyFont="1" applyFill="1" applyBorder="1" applyAlignment="1">
      <alignment horizontal="right"/>
    </xf>
    <xf numFmtId="0" fontId="5" fillId="0" borderId="6" xfId="0" applyFont="1" applyBorder="1"/>
    <xf numFmtId="9" fontId="6" fillId="2" borderId="3" xfId="1" applyFont="1" applyFill="1" applyBorder="1" applyAlignment="1">
      <alignment horizontal="right"/>
    </xf>
    <xf numFmtId="0" fontId="0" fillId="0" borderId="0" xfId="0" applyAlignment="1">
      <alignment wrapText="1"/>
    </xf>
    <xf numFmtId="0" fontId="9" fillId="4" borderId="2" xfId="0" applyFont="1" applyFill="1" applyBorder="1"/>
    <xf numFmtId="0" fontId="9" fillId="4" borderId="3" xfId="0" applyFont="1" applyFill="1" applyBorder="1"/>
    <xf numFmtId="0" fontId="9" fillId="4" borderId="7" xfId="0" applyFont="1" applyFill="1" applyBorder="1"/>
    <xf numFmtId="0" fontId="10" fillId="8" borderId="4" xfId="0" applyFont="1" applyFill="1" applyBorder="1" applyAlignment="1">
      <alignment horizontal="center"/>
    </xf>
    <xf numFmtId="3" fontId="10" fillId="8" borderId="1" xfId="0" applyNumberFormat="1" applyFont="1" applyFill="1" applyBorder="1" applyAlignment="1">
      <alignment horizontal="center"/>
    </xf>
    <xf numFmtId="3" fontId="10" fillId="9" borderId="1" xfId="0" applyNumberFormat="1" applyFont="1" applyFill="1" applyBorder="1" applyAlignment="1">
      <alignment horizontal="center"/>
    </xf>
    <xf numFmtId="3" fontId="10" fillId="8" borderId="8" xfId="0" applyNumberFormat="1" applyFont="1" applyFill="1" applyBorder="1" applyAlignment="1">
      <alignment horizontal="center"/>
    </xf>
    <xf numFmtId="3" fontId="10" fillId="8" borderId="10" xfId="0" applyNumberFormat="1" applyFont="1" applyFill="1" applyBorder="1" applyAlignment="1">
      <alignment horizontal="center"/>
    </xf>
    <xf numFmtId="3" fontId="10" fillId="9" borderId="10" xfId="0" applyNumberFormat="1" applyFont="1" applyFill="1" applyBorder="1" applyAlignment="1">
      <alignment horizontal="center"/>
    </xf>
    <xf numFmtId="3" fontId="10" fillId="8" borderId="11" xfId="0" applyNumberFormat="1" applyFont="1" applyFill="1" applyBorder="1" applyAlignment="1">
      <alignment horizontal="center"/>
    </xf>
    <xf numFmtId="0" fontId="10" fillId="0" borderId="2" xfId="0" applyFont="1" applyBorder="1"/>
    <xf numFmtId="9" fontId="10" fillId="0" borderId="2" xfId="0" applyNumberFormat="1" applyFont="1" applyBorder="1"/>
    <xf numFmtId="9" fontId="10" fillId="0" borderId="3" xfId="0" applyNumberFormat="1" applyFont="1" applyBorder="1"/>
    <xf numFmtId="0" fontId="5" fillId="0" borderId="2" xfId="0" applyFont="1" applyBorder="1"/>
    <xf numFmtId="10" fontId="4" fillId="2" borderId="1" xfId="0" applyNumberFormat="1" applyFont="1" applyFill="1" applyBorder="1" applyAlignment="1">
      <alignment horizontal="right"/>
    </xf>
    <xf numFmtId="3" fontId="4" fillId="3" borderId="1" xfId="0" applyNumberFormat="1" applyFont="1" applyFill="1" applyBorder="1" applyAlignment="1">
      <alignment horizontal="right"/>
    </xf>
    <xf numFmtId="0" fontId="6" fillId="2" borderId="2" xfId="0" applyFont="1" applyFill="1" applyBorder="1" applyAlignment="1">
      <alignment horizontal="left"/>
    </xf>
    <xf numFmtId="10" fontId="4" fillId="3" borderId="1" xfId="0" applyNumberFormat="1" applyFont="1" applyFill="1" applyBorder="1" applyAlignment="1">
      <alignment horizontal="right"/>
    </xf>
    <xf numFmtId="3" fontId="10" fillId="0" borderId="1" xfId="0" applyNumberFormat="1" applyFont="1" applyBorder="1"/>
    <xf numFmtId="10" fontId="10" fillId="0" borderId="1" xfId="0" applyNumberFormat="1" applyFont="1" applyBorder="1"/>
    <xf numFmtId="0" fontId="9" fillId="4" borderId="1" xfId="0" applyFont="1" applyFill="1" applyBorder="1"/>
    <xf numFmtId="0" fontId="9" fillId="4" borderId="4" xfId="0" applyFont="1" applyFill="1" applyBorder="1"/>
    <xf numFmtId="0" fontId="9" fillId="4" borderId="0" xfId="0" applyFont="1" applyFill="1"/>
    <xf numFmtId="0" fontId="5" fillId="5" borderId="5" xfId="0" applyFont="1" applyFill="1" applyBorder="1"/>
    <xf numFmtId="9" fontId="10" fillId="0" borderId="1" xfId="1" applyFont="1" applyBorder="1"/>
    <xf numFmtId="0" fontId="5" fillId="0" borderId="5" xfId="0" applyFont="1" applyBorder="1"/>
    <xf numFmtId="0" fontId="6" fillId="2" borderId="5" xfId="0" applyFont="1" applyFill="1" applyBorder="1" applyAlignment="1">
      <alignment horizontal="left"/>
    </xf>
    <xf numFmtId="0" fontId="10" fillId="5" borderId="5" xfId="0" applyFont="1" applyFill="1" applyBorder="1"/>
    <xf numFmtId="3" fontId="10" fillId="5" borderId="1" xfId="0" applyNumberFormat="1" applyFont="1" applyFill="1" applyBorder="1"/>
    <xf numFmtId="0" fontId="10" fillId="0" borderId="3" xfId="0" applyFont="1" applyBorder="1"/>
    <xf numFmtId="0" fontId="10" fillId="0" borderId="7" xfId="0" applyFont="1" applyBorder="1"/>
    <xf numFmtId="0" fontId="10" fillId="0" borderId="4" xfId="0" applyFont="1" applyBorder="1"/>
    <xf numFmtId="3" fontId="10" fillId="0" borderId="8" xfId="0" applyNumberFormat="1" applyFont="1" applyBorder="1"/>
    <xf numFmtId="3" fontId="10" fillId="0" borderId="4" xfId="0" applyNumberFormat="1" applyFont="1" applyBorder="1"/>
    <xf numFmtId="9" fontId="10" fillId="0" borderId="1" xfId="0" applyNumberFormat="1" applyFont="1" applyBorder="1"/>
    <xf numFmtId="9" fontId="10" fillId="0" borderId="8" xfId="0" applyNumberFormat="1" applyFont="1" applyBorder="1"/>
    <xf numFmtId="0" fontId="10" fillId="0" borderId="9" xfId="0" applyFont="1" applyBorder="1"/>
    <xf numFmtId="3" fontId="10" fillId="0" borderId="10" xfId="0" applyNumberFormat="1" applyFont="1" applyBorder="1"/>
    <xf numFmtId="0" fontId="10" fillId="0" borderId="10" xfId="0" applyFont="1" applyBorder="1"/>
    <xf numFmtId="3" fontId="10" fillId="0" borderId="11" xfId="0" applyNumberFormat="1" applyFont="1" applyBorder="1"/>
    <xf numFmtId="10" fontId="10" fillId="0" borderId="10" xfId="0" applyNumberFormat="1" applyFont="1" applyBorder="1"/>
    <xf numFmtId="0" fontId="10" fillId="5" borderId="1" xfId="0" applyFont="1" applyFill="1" applyBorder="1"/>
    <xf numFmtId="9" fontId="10" fillId="8" borderId="3" xfId="1" applyFont="1" applyFill="1" applyBorder="1" applyAlignment="1">
      <alignment horizontal="center"/>
    </xf>
    <xf numFmtId="0" fontId="11" fillId="0" borderId="0" xfId="2"/>
    <xf numFmtId="0" fontId="13" fillId="0" borderId="0" xfId="2" applyFont="1"/>
    <xf numFmtId="0" fontId="14" fillId="0" borderId="0" xfId="2" applyFont="1"/>
    <xf numFmtId="0" fontId="16" fillId="0" borderId="13" xfId="2" applyFont="1" applyBorder="1"/>
    <xf numFmtId="3" fontId="16" fillId="0" borderId="12" xfId="2" applyNumberFormat="1" applyFont="1" applyBorder="1"/>
    <xf numFmtId="3" fontId="16" fillId="0" borderId="14" xfId="2" applyNumberFormat="1" applyFont="1" applyBorder="1"/>
    <xf numFmtId="0" fontId="17" fillId="0" borderId="18" xfId="2" applyFont="1" applyBorder="1"/>
    <xf numFmtId="3" fontId="17" fillId="0" borderId="19" xfId="2" applyNumberFormat="1" applyFont="1" applyBorder="1"/>
    <xf numFmtId="3" fontId="17" fillId="0" borderId="20" xfId="2" applyNumberFormat="1" applyFont="1" applyBorder="1"/>
    <xf numFmtId="0" fontId="18" fillId="10" borderId="15" xfId="2" applyFont="1" applyFill="1" applyBorder="1" applyAlignment="1">
      <alignment horizontal="center"/>
    </xf>
    <xf numFmtId="0" fontId="18" fillId="10" borderId="16" xfId="2" applyFont="1" applyFill="1" applyBorder="1" applyAlignment="1">
      <alignment horizontal="center"/>
    </xf>
    <xf numFmtId="0" fontId="18" fillId="10" borderId="17" xfId="2" applyFont="1" applyFill="1" applyBorder="1" applyAlignment="1">
      <alignment horizontal="center"/>
    </xf>
    <xf numFmtId="164" fontId="11" fillId="0" borderId="0" xfId="2" applyNumberFormat="1"/>
    <xf numFmtId="165" fontId="4" fillId="2" borderId="1" xfId="0" applyNumberFormat="1" applyFont="1" applyFill="1" applyBorder="1" applyAlignment="1">
      <alignment horizontal="right"/>
    </xf>
    <xf numFmtId="0" fontId="19" fillId="0" borderId="0" xfId="3"/>
    <xf numFmtId="0" fontId="22" fillId="0" borderId="21" xfId="3" applyFont="1" applyBorder="1" applyAlignment="1">
      <alignment horizontal="center" wrapText="1"/>
    </xf>
    <xf numFmtId="0" fontId="22" fillId="0" borderId="0" xfId="3" applyFont="1" applyAlignment="1">
      <alignment horizontal="left"/>
    </xf>
    <xf numFmtId="166" fontId="21" fillId="0" borderId="0" xfId="3" applyNumberFormat="1" applyFont="1" applyAlignment="1">
      <alignment horizontal="right"/>
    </xf>
    <xf numFmtId="0" fontId="22" fillId="0" borderId="0" xfId="3" applyFont="1" applyAlignment="1">
      <alignment horizontal="left" vertical="top" wrapText="1"/>
    </xf>
    <xf numFmtId="166" fontId="0" fillId="0" borderId="0" xfId="0" applyNumberFormat="1"/>
    <xf numFmtId="0" fontId="19" fillId="0" borderId="2" xfId="3" applyBorder="1" applyAlignment="1">
      <alignment horizontal="center"/>
    </xf>
    <xf numFmtId="0" fontId="19" fillId="0" borderId="3" xfId="3" applyBorder="1" applyAlignment="1">
      <alignment horizontal="center"/>
    </xf>
    <xf numFmtId="0" fontId="19" fillId="0" borderId="7" xfId="3" applyBorder="1" applyAlignment="1">
      <alignment horizontal="center"/>
    </xf>
    <xf numFmtId="0" fontId="19" fillId="0" borderId="4" xfId="3" applyBorder="1" applyAlignment="1">
      <alignment horizontal="center"/>
    </xf>
    <xf numFmtId="2" fontId="19" fillId="0" borderId="1" xfId="3" applyNumberFormat="1" applyBorder="1" applyAlignment="1">
      <alignment horizontal="center"/>
    </xf>
    <xf numFmtId="0" fontId="19" fillId="0" borderId="9" xfId="3" applyBorder="1" applyAlignment="1">
      <alignment horizontal="center"/>
    </xf>
    <xf numFmtId="2" fontId="19" fillId="0" borderId="10" xfId="3" applyNumberFormat="1" applyBorder="1" applyAlignment="1">
      <alignment horizontal="center"/>
    </xf>
    <xf numFmtId="0" fontId="19" fillId="0" borderId="11" xfId="3" applyBorder="1" applyAlignment="1">
      <alignment horizontal="center"/>
    </xf>
    <xf numFmtId="3" fontId="4" fillId="2" borderId="3" xfId="0" applyNumberFormat="1" applyFont="1" applyFill="1" applyBorder="1" applyAlignment="1">
      <alignment horizontal="right"/>
    </xf>
    <xf numFmtId="0" fontId="17" fillId="0" borderId="0" xfId="2" applyFont="1"/>
    <xf numFmtId="3" fontId="17" fillId="0" borderId="0" xfId="2" applyNumberFormat="1" applyFont="1"/>
    <xf numFmtId="3" fontId="16" fillId="0" borderId="16" xfId="2" applyNumberFormat="1" applyFont="1" applyBorder="1"/>
    <xf numFmtId="3" fontId="11" fillId="0" borderId="0" xfId="2" applyNumberFormat="1"/>
    <xf numFmtId="4" fontId="11" fillId="0" borderId="0" xfId="2" applyNumberFormat="1"/>
    <xf numFmtId="0" fontId="12" fillId="0" borderId="0" xfId="2" applyFont="1"/>
    <xf numFmtId="0" fontId="12" fillId="0" borderId="0" xfId="2" applyFont="1" applyAlignment="1">
      <alignment vertical="top" wrapText="1"/>
    </xf>
    <xf numFmtId="0" fontId="3" fillId="6" borderId="0" xfId="0" applyFont="1" applyFill="1" applyAlignment="1">
      <alignment horizontal="center" wrapText="1"/>
    </xf>
    <xf numFmtId="0" fontId="3" fillId="6" borderId="0" xfId="0" applyFont="1" applyFill="1" applyAlignment="1">
      <alignment horizontal="center"/>
    </xf>
    <xf numFmtId="0" fontId="21" fillId="0" borderId="0" xfId="3" applyFont="1" applyAlignment="1">
      <alignment horizontal="left" vertical="top" wrapText="1"/>
    </xf>
    <xf numFmtId="0" fontId="19" fillId="0" borderId="0" xfId="3"/>
    <xf numFmtId="0" fontId="21" fillId="0" borderId="0" xfId="3" applyFont="1" applyAlignment="1">
      <alignment horizontal="left"/>
    </xf>
    <xf numFmtId="0" fontId="20" fillId="0" borderId="0" xfId="3" applyFont="1" applyAlignment="1">
      <alignment horizontal="left"/>
    </xf>
    <xf numFmtId="0" fontId="22" fillId="0" borderId="0" xfId="3" applyFont="1" applyAlignment="1">
      <alignment horizontal="left" vertical="top" wrapText="1"/>
    </xf>
    <xf numFmtId="0" fontId="7" fillId="7" borderId="0" xfId="0" applyFont="1" applyFill="1" applyAlignment="1">
      <alignment horizontal="center"/>
    </xf>
    <xf numFmtId="0" fontId="8" fillId="7" borderId="1" xfId="0" applyFont="1" applyFill="1" applyBorder="1" applyAlignment="1">
      <alignment horizontal="center" wrapText="1"/>
    </xf>
    <xf numFmtId="0" fontId="8" fillId="7" borderId="1" xfId="0" applyFont="1" applyFill="1" applyBorder="1" applyAlignment="1">
      <alignment horizontal="center"/>
    </xf>
  </cellXfs>
  <cellStyles count="4">
    <cellStyle name="Normal" xfId="0" builtinId="0"/>
    <cellStyle name="Normal 2" xfId="2" xr:uid="{E01BC571-C63A-4F37-BB53-BD06D4D18810}"/>
    <cellStyle name="Normal 3" xfId="3" xr:uid="{E817E44A-381C-4C21-9E90-9C651C5E2E20}"/>
    <cellStyle name="Porcentaje" xfId="1" builtinId="5"/>
  </cellStyles>
  <dxfs count="100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fill>
        <patternFill patternType="solid">
          <fgColor theme="4" tint="0.79998168889431442"/>
          <bgColor theme="3" tint="0.74999237037263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3" formatCode="#,##0"/>
      <fill>
        <patternFill patternType="solid">
          <fgColor theme="4" tint="0.79998168889431442"/>
          <bgColor theme="3" tint="0.74999237037263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numFmt numFmtId="3" formatCode="#,##0"/>
      <fill>
        <patternFill>
          <bgColor theme="3" tint="0.74999237037263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3" formatCode="#,##0"/>
      <fill>
        <patternFill patternType="solid">
          <fgColor theme="4" tint="0.79998168889431442"/>
          <bgColor theme="3" tint="0.74999237037263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3" formatCode="#,##0"/>
      <fill>
        <patternFill patternType="solid">
          <fgColor theme="4" tint="0.79998168889431442"/>
          <bgColor theme="3" tint="0.74999237037263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3" formatCode="#,##0"/>
      <fill>
        <patternFill patternType="solid">
          <fgColor theme="4" tint="0.79998168889431442"/>
          <bgColor theme="3" tint="0.74999237037263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3" formatCode="#,##0"/>
      <fill>
        <patternFill patternType="solid">
          <fgColor theme="4" tint="0.79998168889431442"/>
          <bgColor theme="3" tint="0.74999237037263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3" formatCode="#,##0"/>
      <fill>
        <patternFill patternType="solid">
          <fgColor theme="4" tint="0.79998168889431442"/>
          <bgColor theme="3" tint="0.74999237037263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fill>
        <patternFill patternType="solid">
          <fgColor theme="4" tint="0.79998168889431442"/>
          <bgColor theme="3" tint="0.74999237037263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fill>
        <patternFill>
          <bgColor theme="3" tint="0.749992370372631"/>
        </patternFill>
      </fill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none"/>
      </font>
      <fill>
        <patternFill patternType="solid">
          <fgColor theme="4"/>
          <bgColor theme="4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3" formatCode="#,##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none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3" formatCode="0%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9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4" formatCode="0.00%"/>
      <fill>
        <patternFill patternType="solid">
          <fgColor indexed="64"/>
          <bgColor rgb="FFFFFFFF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3" formatCode="#,##0"/>
      <fill>
        <patternFill patternType="solid">
          <fgColor indexed="64"/>
          <bgColor rgb="FFFFFFFF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Calibri"/>
        <family val="2"/>
        <scheme val="none"/>
      </font>
      <numFmt numFmtId="14" formatCode="0.00%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Calibri"/>
        <family val="2"/>
        <scheme val="none"/>
      </font>
      <numFmt numFmtId="3" formatCode="#,##0"/>
      <border diagonalUp="0" diagonalDown="0" outline="0">
        <left style="thin">
          <color rgb="FFBFBFBF"/>
        </left>
        <right/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Calibri"/>
        <family val="2"/>
        <scheme val="none"/>
      </font>
      <numFmt numFmtId="3" formatCode="#,##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Calibri"/>
        <family val="2"/>
        <scheme val="none"/>
      </font>
      <numFmt numFmtId="3" formatCode="#,##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Calibri"/>
        <family val="2"/>
        <scheme val="none"/>
      </font>
      <numFmt numFmtId="3" formatCode="#,##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Calibri"/>
        <family val="2"/>
        <scheme val="none"/>
      </font>
      <numFmt numFmtId="3" formatCode="#,##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Calibri"/>
        <family val="2"/>
        <scheme val="none"/>
      </font>
      <border diagonalUp="0" diagonalDown="0" outline="0">
        <left/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Calibri"/>
        <family val="2"/>
        <scheme val="none"/>
      </font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FFFFFF"/>
        <name val="Calibri"/>
        <family val="2"/>
        <scheme val="none"/>
      </font>
      <fill>
        <patternFill patternType="solid">
          <fgColor rgb="FF993366"/>
          <bgColor theme="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Calibri"/>
        <family val="2"/>
        <scheme val="none"/>
      </font>
      <numFmt numFmtId="3" formatCode="#,##0"/>
      <border diagonalUp="0" diagonalDown="0" outline="0">
        <left style="thin">
          <color rgb="FFBFBFBF"/>
        </left>
        <right/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Calibri"/>
        <family val="2"/>
        <scheme val="none"/>
      </font>
      <numFmt numFmtId="3" formatCode="#,##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Calibri"/>
        <family val="2"/>
        <scheme val="none"/>
      </font>
      <numFmt numFmtId="3" formatCode="#,##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Calibri"/>
        <family val="2"/>
        <scheme val="none"/>
      </font>
      <numFmt numFmtId="3" formatCode="#,##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Calibri"/>
        <family val="2"/>
        <scheme val="none"/>
      </font>
      <numFmt numFmtId="3" formatCode="#,##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Calibri"/>
        <family val="2"/>
        <scheme val="none"/>
      </font>
      <border diagonalUp="0" diagonalDown="0" outline="0">
        <left/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Calibri"/>
        <family val="2"/>
        <scheme val="none"/>
      </font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FFFFFF"/>
        <name val="Calibri"/>
        <family val="2"/>
        <scheme val="none"/>
      </font>
      <fill>
        <patternFill patternType="solid">
          <fgColor rgb="FF993366"/>
          <bgColor theme="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674-48CB-A6BF-552FE95C6D2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674-48CB-A6BF-552FE95C6D2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D674-48CB-A6BF-552FE95C6D2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D674-48CB-A6BF-552FE95C6D2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568-4434-8093-E4F04807CC2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568-4434-8093-E4F04807CC2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568-4434-8093-E4F04807CC2D}"/>
              </c:ext>
            </c:extLst>
          </c:dPt>
          <c:dLbls>
            <c:dLbl>
              <c:idx val="0"/>
              <c:layout>
                <c:manualLayout>
                  <c:x val="-0.19324660979877514"/>
                  <c:y val="5.6233595800524935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674-48CB-A6BF-552FE95C6D25}"/>
                </c:ext>
              </c:extLst>
            </c:dLbl>
            <c:dLbl>
              <c:idx val="1"/>
              <c:layout>
                <c:manualLayout>
                  <c:x val="0.12077952755905512"/>
                  <c:y val="-0.1962470836978711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674-48CB-A6BF-552FE95C6D25}"/>
                </c:ext>
              </c:extLst>
            </c:dLbl>
            <c:dLbl>
              <c:idx val="2"/>
              <c:layout>
                <c:manualLayout>
                  <c:x val="-5.6190944881889797E-2"/>
                  <c:y val="5.358814523184601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674-48CB-A6BF-552FE95C6D25}"/>
                </c:ext>
              </c:extLst>
            </c:dLbl>
            <c:dLbl>
              <c:idx val="3"/>
              <c:layout>
                <c:manualLayout>
                  <c:x val="-8.428357392825897E-2"/>
                  <c:y val="1.854294254884806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674-48CB-A6BF-552FE95C6D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12700" cap="flat" cmpd="sng" algn="ctr">
                  <a:solidFill>
                    <a:schemeClr val="tx1"/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(Exportaciones!$B$4:$B$9,Exportaciones!$B$17)</c:f>
              <c:strCache>
                <c:ptCount val="7"/>
                <c:pt idx="0">
                  <c:v>Oleaginoso</c:v>
                </c:pt>
                <c:pt idx="1">
                  <c:v>Cerealero</c:v>
                </c:pt>
                <c:pt idx="2">
                  <c:v>Bovino</c:v>
                </c:pt>
                <c:pt idx="3">
                  <c:v>Frutícola</c:v>
                </c:pt>
                <c:pt idx="4">
                  <c:v>Pesquero</c:v>
                </c:pt>
                <c:pt idx="5">
                  <c:v>Hortícola</c:v>
                </c:pt>
                <c:pt idx="6">
                  <c:v>Otros complejos</c:v>
                </c:pt>
              </c:strCache>
            </c:strRef>
          </c:cat>
          <c:val>
            <c:numRef>
              <c:f>(Exportaciones!$S$4:$S$9,Exportaciones!$S$17)</c:f>
              <c:numCache>
                <c:formatCode>0.0%</c:formatCode>
                <c:ptCount val="7"/>
                <c:pt idx="0">
                  <c:v>0.49766197713359822</c:v>
                </c:pt>
                <c:pt idx="1">
                  <c:v>0.23189215819581244</c:v>
                </c:pt>
                <c:pt idx="2">
                  <c:v>0.1241658158906245</c:v>
                </c:pt>
                <c:pt idx="3">
                  <c:v>4.4458066409788548E-2</c:v>
                </c:pt>
                <c:pt idx="4">
                  <c:v>4.1558111605845979E-2</c:v>
                </c:pt>
                <c:pt idx="5">
                  <c:v>2.0809918313347504E-2</c:v>
                </c:pt>
                <c:pt idx="6">
                  <c:v>3.9453952450982849E-2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74-48CB-A6BF-552FE95C6D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CF8D-47BB-9D29-A33DB2CDCE7F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688-499F-8810-9BA9DC3F061A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688-499F-8810-9BA9DC3F061A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688-499F-8810-9BA9DC3F061A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688-499F-8810-9BA9DC3F061A}"/>
              </c:ext>
            </c:extLst>
          </c:dPt>
          <c:dPt>
            <c:idx val="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688-499F-8810-9BA9DC3F061A}"/>
              </c:ext>
            </c:extLst>
          </c:dPt>
          <c:dPt>
            <c:idx val="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B688-499F-8810-9BA9DC3F061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ysClr val="windowText" lastClr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(Exportaciones!$L$23:$L$28,Exportaciones!$L$36)</c:f>
              <c:strCache>
                <c:ptCount val="7"/>
                <c:pt idx="0">
                  <c:v>Oleaginoso</c:v>
                </c:pt>
                <c:pt idx="1">
                  <c:v>Cerealero</c:v>
                </c:pt>
                <c:pt idx="2">
                  <c:v>Bovino</c:v>
                </c:pt>
                <c:pt idx="3">
                  <c:v>Frutícola</c:v>
                </c:pt>
                <c:pt idx="4">
                  <c:v>Pesquero</c:v>
                </c:pt>
                <c:pt idx="5">
                  <c:v>Hortícola</c:v>
                </c:pt>
                <c:pt idx="6">
                  <c:v>Otros complejos</c:v>
                </c:pt>
              </c:strCache>
            </c:strRef>
          </c:cat>
          <c:val>
            <c:numRef>
              <c:f>(Exportaciones!$P$23:$P$28,Exportaciones!$P$36)</c:f>
              <c:numCache>
                <c:formatCode>0%</c:formatCode>
                <c:ptCount val="7"/>
                <c:pt idx="0">
                  <c:v>-0.20116151298059962</c:v>
                </c:pt>
                <c:pt idx="1">
                  <c:v>-0.29544194625210835</c:v>
                </c:pt>
                <c:pt idx="2">
                  <c:v>0.10220765279193821</c:v>
                </c:pt>
                <c:pt idx="3">
                  <c:v>-0.12970273612605876</c:v>
                </c:pt>
                <c:pt idx="4">
                  <c:v>-0.11546080968311126</c:v>
                </c:pt>
                <c:pt idx="5">
                  <c:v>-5.1570771026929814E-2</c:v>
                </c:pt>
                <c:pt idx="6">
                  <c:v>-0.10659880362162386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88-499F-8810-9BA9DC3F061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02482992"/>
        <c:axId val="314249840"/>
      </c:barChart>
      <c:catAx>
        <c:axId val="3024829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noFill/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s-AR"/>
          </a:p>
        </c:txPr>
        <c:crossAx val="314249840"/>
        <c:crosses val="autoZero"/>
        <c:auto val="1"/>
        <c:lblAlgn val="ctr"/>
        <c:lblOffset val="100"/>
        <c:tickLblSkip val="1"/>
        <c:noMultiLvlLbl val="0"/>
      </c:catAx>
      <c:valAx>
        <c:axId val="31424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ysClr val="windowText" lastClr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s-AR"/>
          </a:p>
        </c:txPr>
        <c:crossAx val="302482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700" b="1">
          <a:solidFill>
            <a:sysClr val="windowText" lastClr="000000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'Evolucion oleag y cerea'!$K$2</c:f>
              <c:strCache>
                <c:ptCount val="1"/>
                <c:pt idx="0">
                  <c:v>Variacion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1CD-4A4C-A3DF-4946A52FCBE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11CD-4A4C-A3DF-4946A52FCBEC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1CD-4A4C-A3DF-4946A52FCBEC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1CD-4A4C-A3DF-4946A52FCBEC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1CD-4A4C-A3DF-4946A52FCBE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endParaRPr lang="es-A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'Evolucion oleag y cerea'!$D$3:$D$7</c:f>
              <c:strCache>
                <c:ptCount val="5"/>
                <c:pt idx="0">
                  <c:v>Soja</c:v>
                </c:pt>
                <c:pt idx="1">
                  <c:v>Girasol</c:v>
                </c:pt>
                <c:pt idx="2">
                  <c:v>Maíz</c:v>
                </c:pt>
                <c:pt idx="3">
                  <c:v>Trigo</c:v>
                </c:pt>
                <c:pt idx="4">
                  <c:v>Cebada</c:v>
                </c:pt>
              </c:strCache>
            </c:strRef>
          </c:cat>
          <c:val>
            <c:numRef>
              <c:f>'Evolucion oleag y cerea'!$K$3:$K$7</c:f>
              <c:numCache>
                <c:formatCode>0%</c:formatCode>
                <c:ptCount val="5"/>
                <c:pt idx="0">
                  <c:v>-0.24301798642655512</c:v>
                </c:pt>
                <c:pt idx="1">
                  <c:v>0.372261252765131</c:v>
                </c:pt>
                <c:pt idx="2">
                  <c:v>-0.39690208530829152</c:v>
                </c:pt>
                <c:pt idx="3">
                  <c:v>-0.11950555803622497</c:v>
                </c:pt>
                <c:pt idx="4">
                  <c:v>-3.5527392599031184E-2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57-4BBD-BDD9-EBAD27AE73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4421888"/>
        <c:axId val="1859923808"/>
      </c:barChart>
      <c:catAx>
        <c:axId val="1974421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noFill/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s-AR"/>
          </a:p>
        </c:txPr>
        <c:crossAx val="1859923808"/>
        <c:crosses val="autoZero"/>
        <c:auto val="1"/>
        <c:lblAlgn val="ctr"/>
        <c:lblOffset val="100"/>
        <c:noMultiLvlLbl val="0"/>
      </c:catAx>
      <c:valAx>
        <c:axId val="185992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s-AR"/>
          </a:p>
        </c:txPr>
        <c:crossAx val="1974421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 b="1">
          <a:solidFill>
            <a:schemeClr val="tx1"/>
          </a:solidFill>
          <a:latin typeface="Calibri" panose="020F0502020204030204" pitchFamily="34" charset="0"/>
          <a:cs typeface="Calibri" panose="020F0502020204030204" pitchFamily="34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'Grandes rubros 2021-2025'!$A$13</c:f>
              <c:strCache>
                <c:ptCount val="1"/>
                <c:pt idx="0">
                  <c:v>Productos primarios (PP)</c:v>
                </c:pt>
              </c:strCache>
            </c:strRef>
          </c:tx>
          <c:invertIfNegative val="0"/>
          <c:cat>
            <c:strRef>
              <c:f>'Grandes rubros 2021-2025'!$B$4:$F$4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'Grandes rubros 2021-2025'!$B$13:$F$13</c:f>
              <c:numCache>
                <c:formatCode>#,##0</c:formatCode>
                <c:ptCount val="5"/>
                <c:pt idx="0">
                  <c:v>25911.581964407462</c:v>
                </c:pt>
                <c:pt idx="1">
                  <c:v>26256.642504155207</c:v>
                </c:pt>
                <c:pt idx="2">
                  <c:v>15227.49722939302</c:v>
                </c:pt>
                <c:pt idx="3">
                  <c:v>18788.716316009548</c:v>
                </c:pt>
                <c:pt idx="4">
                  <c:v>22144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07-4740-AE99-F22AF351A8D7}"/>
            </c:ext>
          </c:extLst>
        </c:ser>
        <c:ser>
          <c:idx val="1"/>
          <c:order val="1"/>
          <c:tx>
            <c:strRef>
              <c:f>'Grandes rubros 2021-2025'!$A$14</c:f>
              <c:strCache>
                <c:ptCount val="1"/>
                <c:pt idx="0">
                  <c:v>Manufacturas de origen agropecuario (MOA)</c:v>
                </c:pt>
              </c:strCache>
            </c:strRef>
          </c:tx>
          <c:invertIfNegative val="0"/>
          <c:cat>
            <c:strRef>
              <c:f>'Grandes rubros 2021-2025'!$B$4:$F$4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'Grandes rubros 2021-2025'!$B$14:$F$14</c:f>
              <c:numCache>
                <c:formatCode>#,##0</c:formatCode>
                <c:ptCount val="5"/>
                <c:pt idx="0">
                  <c:v>36747.183207719674</c:v>
                </c:pt>
                <c:pt idx="1">
                  <c:v>36433.456640485849</c:v>
                </c:pt>
                <c:pt idx="2">
                  <c:v>25169.958298542919</c:v>
                </c:pt>
                <c:pt idx="3">
                  <c:v>30455.84512359116</c:v>
                </c:pt>
                <c:pt idx="4">
                  <c:v>30467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07-4740-AE99-F22AF351A8D7}"/>
            </c:ext>
          </c:extLst>
        </c:ser>
        <c:ser>
          <c:idx val="2"/>
          <c:order val="2"/>
          <c:tx>
            <c:strRef>
              <c:f>'Grandes rubros 2021-2025'!$A$15</c:f>
              <c:strCache>
                <c:ptCount val="1"/>
                <c:pt idx="0">
                  <c:v>Manufacturas de origen industrial (MOI)</c:v>
                </c:pt>
              </c:strCache>
            </c:strRef>
          </c:tx>
          <c:invertIfNegative val="0"/>
          <c:cat>
            <c:strRef>
              <c:f>'Grandes rubros 2021-2025'!$B$4:$F$4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'Grandes rubros 2021-2025'!$B$15:$F$15</c:f>
              <c:numCache>
                <c:formatCode>#,##0</c:formatCode>
                <c:ptCount val="5"/>
                <c:pt idx="0">
                  <c:v>23658.917495403079</c:v>
                </c:pt>
                <c:pt idx="1">
                  <c:v>25368.880207320395</c:v>
                </c:pt>
                <c:pt idx="2">
                  <c:v>21811.075860835426</c:v>
                </c:pt>
                <c:pt idx="3">
                  <c:v>22642.522497613081</c:v>
                </c:pt>
                <c:pt idx="4">
                  <c:v>23380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07-4740-AE99-F22AF351A8D7}"/>
            </c:ext>
          </c:extLst>
        </c:ser>
        <c:ser>
          <c:idx val="3"/>
          <c:order val="3"/>
          <c:tx>
            <c:strRef>
              <c:f>'Grandes rubros 2021-2025'!$A$16</c:f>
              <c:strCache>
                <c:ptCount val="1"/>
                <c:pt idx="0">
                  <c:v>Combustibles y energía (CyE)</c:v>
                </c:pt>
              </c:strCache>
            </c:strRef>
          </c:tx>
          <c:invertIfNegative val="0"/>
          <c:cat>
            <c:strRef>
              <c:f>'Grandes rubros 2021-2025'!$B$4:$F$4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'Grandes rubros 2021-2025'!$B$16:$F$16</c:f>
              <c:numCache>
                <c:formatCode>#,##0</c:formatCode>
                <c:ptCount val="5"/>
                <c:pt idx="0">
                  <c:v>6277.9952817611547</c:v>
                </c:pt>
                <c:pt idx="1">
                  <c:v>9238.4482884990539</c:v>
                </c:pt>
                <c:pt idx="2">
                  <c:v>8358.6407564340952</c:v>
                </c:pt>
                <c:pt idx="3">
                  <c:v>9931.6331343215388</c:v>
                </c:pt>
                <c:pt idx="4">
                  <c:v>11086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E07-4740-AE99-F22AF351A8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8855557"/>
        <c:axId val="40442491"/>
      </c:barChart>
      <c:lineChart>
        <c:grouping val="stacked"/>
        <c:varyColors val="0"/>
        <c:ser>
          <c:idx val="4"/>
          <c:order val="4"/>
          <c:tx>
            <c:strRef>
              <c:f>'Grandes rubros 2021-2025'!$A$17</c:f>
              <c:strCache>
                <c:ptCount val="1"/>
                <c:pt idx="0">
                  <c:v>Total exportaciones</c:v>
                </c:pt>
              </c:strCache>
            </c:strRef>
          </c:tx>
          <c:marker>
            <c:symbol val="circle"/>
            <c:size val="6"/>
            <c:spPr>
              <a:solidFill>
                <a:srgbClr val="404040"/>
              </a:solidFill>
            </c:spPr>
          </c:marker>
          <c:cat>
            <c:strRef>
              <c:f>'Grandes rubros 2021-2025'!$B$4:$F$4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'Grandes rubros 2021-2025'!$B$17:$F$17</c:f>
              <c:numCache>
                <c:formatCode>#,##0</c:formatCode>
                <c:ptCount val="5"/>
                <c:pt idx="0">
                  <c:v>92595.677949291363</c:v>
                </c:pt>
                <c:pt idx="1">
                  <c:v>97297.427640460504</c:v>
                </c:pt>
                <c:pt idx="2">
                  <c:v>70567.172145205463</c:v>
                </c:pt>
                <c:pt idx="3">
                  <c:v>81818.717071535328</c:v>
                </c:pt>
                <c:pt idx="4">
                  <c:v>87077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E07-4740-AE99-F22AF351A8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8855557"/>
        <c:axId val="40442491"/>
      </c:lineChart>
      <c:catAx>
        <c:axId val="2885555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crossAx val="40442491"/>
        <c:crosses val="autoZero"/>
        <c:auto val="1"/>
        <c:lblAlgn val="ctr"/>
        <c:lblOffset val="100"/>
        <c:noMultiLvlLbl val="0"/>
      </c:catAx>
      <c:valAx>
        <c:axId val="40442491"/>
        <c:scaling>
          <c:orientation val="minMax"/>
        </c:scaling>
        <c:delete val="0"/>
        <c:axPos val="l"/>
        <c:majorGridlines>
          <c:spPr>
            <a:ln w="9360">
              <a:noFill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/>
                </a:pPr>
                <a:r>
                  <a:rPr lang="es-AR"/>
                  <a:t>en millones de dólares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crossAx val="2885555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noFill/>
      <a:round/>
    </a:ln>
  </c:spPr>
  <c:txPr>
    <a:bodyPr/>
    <a:lstStyle/>
    <a:p>
      <a:pPr>
        <a:defRPr sz="700">
          <a:latin typeface="Calibri" panose="020F0502020204030204" pitchFamily="34" charset="0"/>
          <a:cs typeface="Calibri" panose="020F0502020204030204" pitchFamily="34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'Produccion 2018 - 2025'!$G$31</c:f>
              <c:strCache>
                <c:ptCount val="1"/>
                <c:pt idx="0">
                  <c:v>Cebada 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'Produccion 2018 - 2025'!$F$32:$F$36</c:f>
              <c:strCache>
                <c:ptCount val="5"/>
                <c:pt idx="0">
                  <c:v>2020/21</c:v>
                </c:pt>
                <c:pt idx="1">
                  <c:v>2021/22</c:v>
                </c:pt>
                <c:pt idx="2">
                  <c:v>2022/23</c:v>
                </c:pt>
                <c:pt idx="3">
                  <c:v>2023/24</c:v>
                </c:pt>
                <c:pt idx="4">
                  <c:v>2024/25</c:v>
                </c:pt>
              </c:strCache>
            </c:strRef>
          </c:cat>
          <c:val>
            <c:numRef>
              <c:f>'Produccion 2018 - 2025'!$G$32:$G$36</c:f>
              <c:numCache>
                <c:formatCode>#,##0</c:formatCode>
                <c:ptCount val="5"/>
                <c:pt idx="0">
                  <c:v>4036130</c:v>
                </c:pt>
                <c:pt idx="1">
                  <c:v>5279608</c:v>
                </c:pt>
                <c:pt idx="2">
                  <c:v>4695914</c:v>
                </c:pt>
                <c:pt idx="3">
                  <c:v>5097340</c:v>
                </c:pt>
                <c:pt idx="4">
                  <c:v>4823506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2D-4131-B58C-39FCBF989EE7}"/>
            </c:ext>
          </c:extLst>
        </c:ser>
        <c:ser>
          <c:idx val="1"/>
          <c:order val="1"/>
          <c:tx>
            <c:strRef>
              <c:f>'Produccion 2018 - 2025'!$H$31</c:f>
              <c:strCache>
                <c:ptCount val="1"/>
                <c:pt idx="0">
                  <c:v>Girasol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'Produccion 2018 - 2025'!$F$32:$F$36</c:f>
              <c:strCache>
                <c:ptCount val="5"/>
                <c:pt idx="0">
                  <c:v>2020/21</c:v>
                </c:pt>
                <c:pt idx="1">
                  <c:v>2021/22</c:v>
                </c:pt>
                <c:pt idx="2">
                  <c:v>2022/23</c:v>
                </c:pt>
                <c:pt idx="3">
                  <c:v>2023/24</c:v>
                </c:pt>
                <c:pt idx="4">
                  <c:v>2024/25</c:v>
                </c:pt>
              </c:strCache>
            </c:strRef>
          </c:cat>
          <c:val>
            <c:numRef>
              <c:f>'Produccion 2018 - 2025'!$H$32:$H$36</c:f>
              <c:numCache>
                <c:formatCode>#,##0</c:formatCode>
                <c:ptCount val="5"/>
                <c:pt idx="0">
                  <c:v>3247366</c:v>
                </c:pt>
                <c:pt idx="1">
                  <c:v>4050362</c:v>
                </c:pt>
                <c:pt idx="2">
                  <c:v>5018874</c:v>
                </c:pt>
                <c:pt idx="3">
                  <c:v>3895156</c:v>
                </c:pt>
                <c:pt idx="4">
                  <c:v>5592450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2D-4131-B58C-39FCBF989EE7}"/>
            </c:ext>
          </c:extLst>
        </c:ser>
        <c:ser>
          <c:idx val="2"/>
          <c:order val="2"/>
          <c:tx>
            <c:strRef>
              <c:f>'Produccion 2018 - 2025'!$I$31</c:f>
              <c:strCache>
                <c:ptCount val="1"/>
                <c:pt idx="0">
                  <c:v>Maíz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'Produccion 2018 - 2025'!$F$32:$F$36</c:f>
              <c:strCache>
                <c:ptCount val="5"/>
                <c:pt idx="0">
                  <c:v>2020/21</c:v>
                </c:pt>
                <c:pt idx="1">
                  <c:v>2021/22</c:v>
                </c:pt>
                <c:pt idx="2">
                  <c:v>2022/23</c:v>
                </c:pt>
                <c:pt idx="3">
                  <c:v>2023/24</c:v>
                </c:pt>
                <c:pt idx="4">
                  <c:v>2024/25</c:v>
                </c:pt>
              </c:strCache>
            </c:strRef>
          </c:cat>
          <c:val>
            <c:numRef>
              <c:f>'Produccion 2018 - 2025'!$I$32:$I$36</c:f>
              <c:numCache>
                <c:formatCode>#,##0</c:formatCode>
                <c:ptCount val="5"/>
                <c:pt idx="0">
                  <c:v>60525805</c:v>
                </c:pt>
                <c:pt idx="1">
                  <c:v>59037179</c:v>
                </c:pt>
                <c:pt idx="2">
                  <c:v>41409448</c:v>
                </c:pt>
                <c:pt idx="3">
                  <c:v>57494500</c:v>
                </c:pt>
                <c:pt idx="4">
                  <c:v>51690950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2D-4131-B58C-39FCBF989EE7}"/>
            </c:ext>
          </c:extLst>
        </c:ser>
        <c:ser>
          <c:idx val="3"/>
          <c:order val="3"/>
          <c:tx>
            <c:strRef>
              <c:f>'Produccion 2018 - 2025'!$J$31</c:f>
              <c:strCache>
                <c:ptCount val="1"/>
                <c:pt idx="0">
                  <c:v>Soja 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'Produccion 2018 - 2025'!$F$32:$F$36</c:f>
              <c:strCache>
                <c:ptCount val="5"/>
                <c:pt idx="0">
                  <c:v>2020/21</c:v>
                </c:pt>
                <c:pt idx="1">
                  <c:v>2021/22</c:v>
                </c:pt>
                <c:pt idx="2">
                  <c:v>2022/23</c:v>
                </c:pt>
                <c:pt idx="3">
                  <c:v>2023/24</c:v>
                </c:pt>
                <c:pt idx="4">
                  <c:v>2024/25</c:v>
                </c:pt>
              </c:strCache>
            </c:strRef>
          </c:cat>
          <c:val>
            <c:numRef>
              <c:f>'Produccion 2018 - 2025'!$J$32:$J$36</c:f>
              <c:numCache>
                <c:formatCode>#,##0</c:formatCode>
                <c:ptCount val="5"/>
                <c:pt idx="0">
                  <c:v>46217911</c:v>
                </c:pt>
                <c:pt idx="1">
                  <c:v>43861066</c:v>
                </c:pt>
                <c:pt idx="2">
                  <c:v>25044978</c:v>
                </c:pt>
                <c:pt idx="3">
                  <c:v>48213207</c:v>
                </c:pt>
                <c:pt idx="4">
                  <c:v>51107836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52D-4131-B58C-39FCBF989EE7}"/>
            </c:ext>
          </c:extLst>
        </c:ser>
        <c:ser>
          <c:idx val="4"/>
          <c:order val="4"/>
          <c:tx>
            <c:strRef>
              <c:f>'Produccion 2018 - 2025'!$K$31</c:f>
              <c:strCache>
                <c:ptCount val="1"/>
                <c:pt idx="0">
                  <c:v>Trigo 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'Produccion 2018 - 2025'!$F$32:$F$36</c:f>
              <c:strCache>
                <c:ptCount val="5"/>
                <c:pt idx="0">
                  <c:v>2020/21</c:v>
                </c:pt>
                <c:pt idx="1">
                  <c:v>2021/22</c:v>
                </c:pt>
                <c:pt idx="2">
                  <c:v>2022/23</c:v>
                </c:pt>
                <c:pt idx="3">
                  <c:v>2023/24</c:v>
                </c:pt>
                <c:pt idx="4">
                  <c:v>2024/25</c:v>
                </c:pt>
              </c:strCache>
            </c:strRef>
          </c:cat>
          <c:val>
            <c:numRef>
              <c:f>'Produccion 2018 - 2025'!$K$32:$K$36</c:f>
              <c:numCache>
                <c:formatCode>#,##0</c:formatCode>
                <c:ptCount val="5"/>
                <c:pt idx="0">
                  <c:v>17644277</c:v>
                </c:pt>
                <c:pt idx="1">
                  <c:v>22150287</c:v>
                </c:pt>
                <c:pt idx="2">
                  <c:v>12555860</c:v>
                </c:pt>
                <c:pt idx="3">
                  <c:v>15853154</c:v>
                </c:pt>
                <c:pt idx="4">
                  <c:v>18510280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52D-4131-B58C-39FCBF989E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22543456"/>
        <c:axId val="960635552"/>
      </c:barChart>
      <c:catAx>
        <c:axId val="1222543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60635552"/>
        <c:crosses val="autoZero"/>
        <c:auto val="1"/>
        <c:lblAlgn val="ctr"/>
        <c:lblOffset val="100"/>
        <c:noMultiLvlLbl val="0"/>
      </c:catAx>
      <c:valAx>
        <c:axId val="96063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22543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'Cantidades expo vs prod'!$L$2</c:f>
              <c:strCache>
                <c:ptCount val="1"/>
                <c:pt idx="0">
                  <c:v>Cantidades producidas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'Cantidades expo vs prod'!$F$3:$F$7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'Cantidades expo vs prod'!$L$3:$L$7</c:f>
              <c:numCache>
                <c:formatCode>#,##0</c:formatCode>
                <c:ptCount val="5"/>
                <c:pt idx="0">
                  <c:v>131671.489</c:v>
                </c:pt>
                <c:pt idx="1">
                  <c:v>134378.50200000001</c:v>
                </c:pt>
                <c:pt idx="2">
                  <c:v>88725.073999999993</c:v>
                </c:pt>
                <c:pt idx="3">
                  <c:v>130553.357</c:v>
                </c:pt>
                <c:pt idx="4">
                  <c:v>131725.022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1A-40D9-BD8F-2D7F2D282EC9}"/>
            </c:ext>
          </c:extLst>
        </c:ser>
        <c:ser>
          <c:idx val="1"/>
          <c:order val="1"/>
          <c:tx>
            <c:strRef>
              <c:f>'Cantidades expo vs prod'!$M$2</c:f>
              <c:strCache>
                <c:ptCount val="1"/>
                <c:pt idx="0">
                  <c:v>Cantidades exportadas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ADDAEC18-564C-4A5B-B7BE-E117E14659B3}" type="CELLRANGE">
                      <a:rPr lang="en-US"/>
                      <a:pPr/>
                      <a:t>[CELLRANGE]</a:t>
                    </a:fld>
                    <a:endParaRPr lang="es-A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811A-40D9-BD8F-2D7F2D282EC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6A4A707-2301-41EC-A202-16DD677E1CEF}" type="CELLRANGE">
                      <a:rPr lang="es-AR"/>
                      <a:pPr/>
                      <a:t>[CELLRANGE]</a:t>
                    </a:fld>
                    <a:endParaRPr lang="es-A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811A-40D9-BD8F-2D7F2D282EC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88B3ABA-8CC2-4106-AE87-617A1097D08D}" type="CELLRANGE">
                      <a:rPr lang="es-AR"/>
                      <a:pPr/>
                      <a:t>[CELLRANGE]</a:t>
                    </a:fld>
                    <a:endParaRPr lang="es-A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811A-40D9-BD8F-2D7F2D282EC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0B4D736-CDED-45A0-ABCB-86A97E07E64A}" type="CELLRANGE">
                      <a:rPr lang="es-AR"/>
                      <a:pPr/>
                      <a:t>[CELLRANGE]</a:t>
                    </a:fld>
                    <a:endParaRPr lang="es-A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811A-40D9-BD8F-2D7F2D282EC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88E2DB8-39C5-4716-AE81-E2BD97B7E0DB}" type="CELLRANGE">
                      <a:rPr lang="es-AR"/>
                      <a:pPr/>
                      <a:t>[CELLRANGE]</a:t>
                    </a:fld>
                    <a:endParaRPr lang="es-A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811A-40D9-BD8F-2D7F2D282E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144000" tIns="19050" rIns="360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'Cantidades expo vs prod'!$F$3:$F$7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'Cantidades expo vs prod'!$M$3:$M$7</c:f>
              <c:numCache>
                <c:formatCode>#,##0</c:formatCode>
                <c:ptCount val="5"/>
                <c:pt idx="0">
                  <c:v>101902</c:v>
                </c:pt>
                <c:pt idx="1">
                  <c:v>96114</c:v>
                </c:pt>
                <c:pt idx="2">
                  <c:v>57018</c:v>
                </c:pt>
                <c:pt idx="3">
                  <c:v>91281</c:v>
                </c:pt>
                <c:pt idx="4">
                  <c:v>103088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'Cantidades expo vs prod'!$N$3:$N$7</c15:f>
                <c15:dlblRangeCache>
                  <c:ptCount val="5"/>
                  <c:pt idx="0">
                    <c:v>77%</c:v>
                  </c:pt>
                  <c:pt idx="1">
                    <c:v>72%</c:v>
                  </c:pt>
                  <c:pt idx="2">
                    <c:v>64%</c:v>
                  </c:pt>
                  <c:pt idx="3">
                    <c:v>70%</c:v>
                  </c:pt>
                  <c:pt idx="4">
                    <c:v>78%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811A-40D9-BD8F-2D7F2D282E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39"/>
        <c:axId val="517777967"/>
        <c:axId val="288418559"/>
      </c:barChart>
      <c:catAx>
        <c:axId val="517777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s-AR"/>
          </a:p>
        </c:txPr>
        <c:crossAx val="288418559"/>
        <c:crosses val="autoZero"/>
        <c:auto val="1"/>
        <c:lblAlgn val="ctr"/>
        <c:lblOffset val="100"/>
        <c:noMultiLvlLbl val="0"/>
      </c:catAx>
      <c:valAx>
        <c:axId val="288418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s-AR"/>
          </a:p>
        </c:txPr>
        <c:crossAx val="517777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 b="1">
          <a:solidFill>
            <a:sysClr val="windowText" lastClr="000000"/>
          </a:solidFill>
          <a:latin typeface="Calibri" panose="020F0502020204030204" pitchFamily="34" charset="0"/>
          <a:cs typeface="Calibri" panose="020F0502020204030204" pitchFamily="34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</xdr:colOff>
      <xdr:row>21</xdr:row>
      <xdr:rowOff>4762</xdr:rowOff>
    </xdr:from>
    <xdr:to>
      <xdr:col>6</xdr:col>
      <xdr:colOff>292762</xdr:colOff>
      <xdr:row>32</xdr:row>
      <xdr:rowOff>148462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031036-51A4-7EAD-3B26-D4876E872D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733425</xdr:colOff>
      <xdr:row>22</xdr:row>
      <xdr:rowOff>42862</xdr:rowOff>
    </xdr:from>
    <xdr:to>
      <xdr:col>20</xdr:col>
      <xdr:colOff>259425</xdr:colOff>
      <xdr:row>33</xdr:row>
      <xdr:rowOff>186562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DAB92CA-F6DF-D335-5619-7DBF0F6226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11</xdr:row>
      <xdr:rowOff>176212</xdr:rowOff>
    </xdr:from>
    <xdr:to>
      <xdr:col>9</xdr:col>
      <xdr:colOff>0</xdr:colOff>
      <xdr:row>26</xdr:row>
      <xdr:rowOff>61912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1C6AD44-04D9-A176-BFB8-8F25492659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22</xdr:row>
      <xdr:rowOff>32805</xdr:rowOff>
    </xdr:from>
    <xdr:ext cx="5238000" cy="3218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E63DA7-478B-444C-B71D-C2B08B9303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19049</xdr:colOff>
      <xdr:row>12</xdr:row>
      <xdr:rowOff>42861</xdr:rowOff>
    </xdr:from>
    <xdr:to>
      <xdr:col>18</xdr:col>
      <xdr:colOff>676274</xdr:colOff>
      <xdr:row>26</xdr:row>
      <xdr:rowOff>180974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7675A67-D766-4B10-A13D-F2CFA1B8F6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752475</xdr:colOff>
      <xdr:row>12</xdr:row>
      <xdr:rowOff>4762</xdr:rowOff>
    </xdr:from>
    <xdr:to>
      <xdr:col>8</xdr:col>
      <xdr:colOff>59400</xdr:colOff>
      <xdr:row>23</xdr:row>
      <xdr:rowOff>148462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18EADD4-940E-26AF-D39C-A9F860F7A0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10DCA2-5E3C-4B0E-88B0-73E901F3BE22}" name="Tabla1" displayName="Tabla1" ref="B3:S18" totalsRowShown="0" headerRowDxfId="76" dataDxfId="74" headerRowBorderDxfId="75" tableBorderDxfId="73" totalsRowBorderDxfId="72">
  <autoFilter ref="B3:S18" xr:uid="{1910DCA2-5E3C-4B0E-88B0-73E901F3BE22}"/>
  <tableColumns count="18">
    <tableColumn id="1" xr3:uid="{96127CDE-25A0-4798-AD54-F1121320354E}" name="Año" dataDxfId="71"/>
    <tableColumn id="2" xr3:uid="{234C6DC1-B785-445E-93F1-BAF638BEF846}" name="2018" dataDxfId="70"/>
    <tableColumn id="10" xr3:uid="{CBE453F6-8D37-46A0-9D7F-AAF042550410}" name="2018%" dataDxfId="69">
      <calculatedColumnFormula>Tabla1[[#This Row],[2018]]/$C$18</calculatedColumnFormula>
    </tableColumn>
    <tableColumn id="3" xr3:uid="{99A664FA-46D7-48FE-B7D9-0F57A40D6319}" name="2019" dataDxfId="68"/>
    <tableColumn id="12" xr3:uid="{2FFBDCBA-15B9-411C-8BA4-3DCEB971012E}" name="2019%" dataDxfId="67">
      <calculatedColumnFormula>Tabla1[[#This Row],[2019]]/$E$18</calculatedColumnFormula>
    </tableColumn>
    <tableColumn id="4" xr3:uid="{D20C8D09-1F81-4E65-B9BF-9401381DB4CB}" name="2020" dataDxfId="66"/>
    <tableColumn id="13" xr3:uid="{C90DD67F-B4C9-466C-A2BC-30111CBF02F1}" name="2020%" dataDxfId="65">
      <calculatedColumnFormula>Tabla1[[#This Row],[2020]]/$G$18</calculatedColumnFormula>
    </tableColumn>
    <tableColumn id="5" xr3:uid="{C21332CA-7501-4497-94B6-61514C43417B}" name="2021" dataDxfId="64"/>
    <tableColumn id="14" xr3:uid="{89D603AA-FFAD-424E-8D92-EA83E3B38731}" name="2021%" dataDxfId="63">
      <calculatedColumnFormula>Tabla1[[#This Row],[2021]]/$I$18</calculatedColumnFormula>
    </tableColumn>
    <tableColumn id="6" xr3:uid="{9FF5AA8A-BA05-463F-A51E-3B57B2BA6EE6}" name="2022" dataDxfId="62"/>
    <tableColumn id="15" xr3:uid="{7D6D8DF3-CA84-4F53-8EFF-74E04CA051BE}" name="2022%" dataDxfId="61">
      <calculatedColumnFormula>Tabla1[[#This Row],[2022]]/$K$18</calculatedColumnFormula>
    </tableColumn>
    <tableColumn id="7" xr3:uid="{F26DFBDE-43F7-4758-B5D1-B1F30B38F1C5}" name="2023" dataDxfId="60"/>
    <tableColumn id="16" xr3:uid="{97C89341-4CB3-4C0A-8C6B-4CEA4FA1A112}" name="2023%" dataDxfId="59">
      <calculatedColumnFormula>Tabla1[[#This Row],[2023]]/$M$18</calculatedColumnFormula>
    </tableColumn>
    <tableColumn id="11" xr3:uid="{1F1381F7-8B80-4C62-B124-AE2EEB483CA4}" name="Columna1" dataDxfId="58"/>
    <tableColumn id="8" xr3:uid="{B8E5513D-24D4-4BC5-A80B-D033650C9E0B}" name="2024" dataDxfId="57"/>
    <tableColumn id="17" xr3:uid="{EBF97635-6CA8-4D4C-A5E2-07C11F86D195}" name="2024%" dataDxfId="56">
      <calculatedColumnFormula>Tabla1[[#This Row],[2024]]/$P$18</calculatedColumnFormula>
    </tableColumn>
    <tableColumn id="9" xr3:uid="{34CA5CD9-2E13-4258-9422-1337C90F74C6}" name="2025" dataDxfId="55"/>
    <tableColumn id="18" xr3:uid="{04A94E06-CAFE-4092-967D-51E79F53288D}" name="2025%" dataDxfId="54">
      <calculatedColumnFormula>Tabla1[[#This Row],[2025]]/$R$18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245969-57F0-45BA-A140-D292407DA02F}" name="Tabla2" displayName="Tabla2" ref="D2:K7" totalsRowShown="0" headerRowDxfId="53" dataDxfId="52">
  <autoFilter ref="D2:K7" xr:uid="{73245969-57F0-45BA-A140-D292407DA02F}"/>
  <tableColumns count="8">
    <tableColumn id="1" xr3:uid="{DD67FE6F-CC5F-4828-A009-40173C9928BF}" name="Cosecha" dataDxfId="51"/>
    <tableColumn id="2" xr3:uid="{9F9A1F11-6999-4D0B-94F6-EF2433EA38D5}" name="2021" dataDxfId="50"/>
    <tableColumn id="3" xr3:uid="{DE500B11-A3AB-495C-9273-127768015771}" name="2022" dataDxfId="49"/>
    <tableColumn id="4" xr3:uid="{8060BBC5-646D-48AE-8D17-8CA93445C0E8}" name="2023" dataDxfId="48"/>
    <tableColumn id="5" xr3:uid="{5DC2729C-7441-4E26-A124-F5E166DC44CE}" name="2024" dataDxfId="47"/>
    <tableColumn id="6" xr3:uid="{507F6C59-5F62-4F3E-A252-4B254AA6EEB2}" name="2025" dataDxfId="46"/>
    <tableColumn id="17" xr3:uid="{F9F44CA6-D985-431A-ABE6-118196E279D8}" name="2021 D" dataDxfId="45">
      <calculatedColumnFormula>Tabla2[[#This Row],[2021]]*$P$3</calculatedColumnFormula>
    </tableColumn>
    <tableColumn id="7" xr3:uid="{5FA608CC-26E1-4AAE-BFD3-A30F26A9D849}" name="Variacion %" dataDxfId="44" dataCellStyle="Porcentaje">
      <calculatedColumnFormula>(Tabla2[[#This Row],[2025]]-Tabla2[[#This Row],[2021 D]])/Tabla2[[#This Row],[2021 D]]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25AFEA4-DE92-4304-9979-9DC8DD882415}" name="Tabla8" displayName="Tabla8" ref="K2:M7" totalsRowShown="0" headerRowDxfId="43" dataDxfId="41" headerRowBorderDxfId="42" tableBorderDxfId="40" totalsRowBorderDxfId="39" headerRowCellStyle="Normal 3">
  <autoFilter ref="K2:M7" xr:uid="{E25AFEA4-DE92-4304-9979-9DC8DD882415}"/>
  <tableColumns count="3">
    <tableColumn id="1" xr3:uid="{5113A85A-3890-4E1D-9843-2577D34BFCE7}" name="Año" dataDxfId="38" dataCellStyle="Normal 3"/>
    <tableColumn id="2" xr3:uid="{87A95005-A50E-445B-AD52-D0722BB9FC3A}" name="Indice promedio" dataDxfId="37" dataCellStyle="Normal 3"/>
    <tableColumn id="3" xr3:uid="{32E2585D-5118-409A-9492-EC742A7CAD6F}" name="Deflactor" dataDxfId="36" dataCellStyle="Normal 3">
      <calculatedColumnFormula>$L$7/L3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47BBAFB-F370-4197-8667-15D11E620576}" name="Tabla6" displayName="Tabla6" ref="A4:F9" totalsRowShown="0" headerRowDxfId="99" dataDxfId="97" headerRowBorderDxfId="98" tableBorderDxfId="96" totalsRowBorderDxfId="95" headerRowCellStyle="Normal 2" dataCellStyle="Normal 2">
  <autoFilter ref="A4:F9" xr:uid="{047BBAFB-F370-4197-8667-15D11E620576}"/>
  <tableColumns count="6">
    <tableColumn id="1" xr3:uid="{4ABC048D-9E3E-441D-BB1E-023F73F46EDE}" name="Rubro" dataDxfId="94" dataCellStyle="Normal 2"/>
    <tableColumn id="2" xr3:uid="{04BBE538-440E-479F-A1A6-354ED4F44751}" name="2021" dataDxfId="93" dataCellStyle="Normal 2"/>
    <tableColumn id="3" xr3:uid="{2EE4EF16-A9FF-4CD2-8FE1-A39C2F87342E}" name="2022" dataDxfId="92" dataCellStyle="Normal 2"/>
    <tableColumn id="4" xr3:uid="{FF4BBBE7-042D-4E86-9749-663EE6D63D3C}" name="2023" dataDxfId="91" dataCellStyle="Normal 2"/>
    <tableColumn id="5" xr3:uid="{7F6AD893-1CA6-4948-9F16-3135BCE4BE00}" name="2024" dataDxfId="90" dataCellStyle="Normal 2"/>
    <tableColumn id="6" xr3:uid="{A750C742-6C00-4FE7-9F70-225B65B06F76}" name="2025" dataDxfId="89" dataCellStyle="Normal 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1EA6888-D826-499B-A329-571B4A44A158}" name="Tabla610" displayName="Tabla610" ref="A12:G17" totalsRowShown="0" headerRowDxfId="88" dataDxfId="86" headerRowBorderDxfId="87" tableBorderDxfId="85" totalsRowBorderDxfId="84" headerRowCellStyle="Normal 2" dataCellStyle="Normal 2">
  <autoFilter ref="A12:G17" xr:uid="{E1EA6888-D826-499B-A329-571B4A44A158}"/>
  <tableColumns count="7">
    <tableColumn id="1" xr3:uid="{4689FA31-4B4B-470E-8A1F-90042C6A0576}" name="Rubro" dataDxfId="83" dataCellStyle="Normal 2"/>
    <tableColumn id="2" xr3:uid="{F6076E6B-FA32-48AA-A117-DF9F1B40E539}" name="2021 D" dataDxfId="82" dataCellStyle="Normal 2">
      <calculatedColumnFormula>B5*$P$5</calculatedColumnFormula>
    </tableColumn>
    <tableColumn id="3" xr3:uid="{97178F0F-D70B-42B0-AD99-250D2274C932}" name="2022 D" dataDxfId="81" dataCellStyle="Normal 2">
      <calculatedColumnFormula>C5*$P$6</calculatedColumnFormula>
    </tableColumn>
    <tableColumn id="4" xr3:uid="{AE9F9C29-21BD-406D-9573-FA2B6F359E5A}" name="2023 D" dataDxfId="80" dataCellStyle="Normal 2">
      <calculatedColumnFormula>D5*$P$7</calculatedColumnFormula>
    </tableColumn>
    <tableColumn id="5" xr3:uid="{525641B9-53CD-4521-8250-4B1B11CF1C90}" name="2024 D" dataDxfId="79" dataCellStyle="Normal 2">
      <calculatedColumnFormula>E5*$P$8</calculatedColumnFormula>
    </tableColumn>
    <tableColumn id="6" xr3:uid="{3AB072C5-6680-4C20-877D-B462C22DC503}" name="2025 D" dataDxfId="78" dataCellStyle="Normal 2">
      <calculatedColumnFormula>F5*$P$9</calculatedColumnFormula>
    </tableColumn>
    <tableColumn id="8" xr3:uid="{AE92D8ED-17AA-4ABE-A3FC-FE29FBD90B76}" name="2026 D" dataDxfId="77" dataCellStyle="Normal 2">
      <calculatedColumnFormula>(D13-C13)/C13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E6F668-5CBC-4435-9308-BA6B9836141F}" name="Tabla14" displayName="Tabla14" ref="F2:K19" totalsRowShown="0" headerRowDxfId="35" dataDxfId="33" headerRowBorderDxfId="34" tableBorderDxfId="32" totalsRowBorderDxfId="31">
  <autoFilter ref="F2:K19" xr:uid="{5C07ACAE-759D-4709-AA4E-41E06E792C63}"/>
  <tableColumns count="6">
    <tableColumn id="1" xr3:uid="{7DBEA9C4-05E1-4AED-932C-39E8933F7A86}" name="Campaña" dataDxfId="30"/>
    <tableColumn id="2" xr3:uid="{6381CF3F-513D-4AC6-A54E-F32E4E1DBDA2}" name="Cebada total" dataDxfId="29"/>
    <tableColumn id="3" xr3:uid="{8057588A-2B24-4BA9-8826-50239CC95BA5}" name="Girasol" dataDxfId="28"/>
    <tableColumn id="4" xr3:uid="{3C94FAEF-8E21-49B2-BDC8-8C4FF2F0BBA2}" name="Maíz" dataDxfId="27"/>
    <tableColumn id="5" xr3:uid="{A3502FDA-7AB8-481E-BDE0-771AA259EB5A}" name="Soja total" dataDxfId="26"/>
    <tableColumn id="6" xr3:uid="{F4CA2F34-343B-48DA-B953-9360C2A9BAE7}" name="Trigo total" dataDxfId="2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B190F48-CD11-4DBC-A594-5D7BF9D90B4E}" name="Tabla25" displayName="Tabla25" ref="F25:K28" totalsRowShown="0" headerRowDxfId="24" dataDxfId="22" headerRowBorderDxfId="23" tableBorderDxfId="21" totalsRowBorderDxfId="20">
  <autoFilter ref="F25:K28" xr:uid="{9DA7E569-E364-466A-B52E-0B715014022B}"/>
  <tableColumns count="6">
    <tableColumn id="1" xr3:uid="{755EAD32-2718-4810-846F-7C094C678773}" name="Campaña" dataDxfId="19"/>
    <tableColumn id="2" xr3:uid="{4A458F12-3A32-4A7D-83BE-BACEE73711E1}" name="Cebada total" dataDxfId="18"/>
    <tableColumn id="3" xr3:uid="{B51A1EB4-E292-4E0B-B84F-FD990270EB24}" name="Girasol" dataDxfId="17"/>
    <tableColumn id="4" xr3:uid="{F8E44FF5-505A-4580-B055-7052AD984D18}" name="Maíz" dataDxfId="16"/>
    <tableColumn id="5" xr3:uid="{3E8C2B70-D0A5-4150-8F2B-2552523393E5}" name="Soja " dataDxfId="15"/>
    <tableColumn id="6" xr3:uid="{4A876E98-A6DF-4D8F-8401-16E0764A4FA8}" name="Trigo total" dataDxfId="1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8754F64-9AF7-4298-82C5-67CB1CCDC0D8}" name="Tabla5" displayName="Tabla5" ref="F2:N7" totalsRowShown="0" headerRowDxfId="13" dataDxfId="11" headerRowBorderDxfId="12" tableBorderDxfId="10" totalsRowBorderDxfId="9">
  <autoFilter ref="F2:N7" xr:uid="{08754F64-9AF7-4298-82C5-67CB1CCDC0D8}"/>
  <tableColumns count="9">
    <tableColumn id="1" xr3:uid="{8C00117B-2218-412A-B3D7-F6891CD5D7CB}" name="Campaña" dataDxfId="8"/>
    <tableColumn id="2" xr3:uid="{E4DA13DC-5485-47CD-94FF-9343EB894CC8}" name="Cebada total" dataDxfId="7"/>
    <tableColumn id="3" xr3:uid="{4C45DFA8-B1C0-4E06-B153-F711EBCB1F31}" name="Girasol" dataDxfId="6"/>
    <tableColumn id="4" xr3:uid="{F12CDB65-B877-4D12-9CDE-1A14E2D597DB}" name="Maíz" dataDxfId="5"/>
    <tableColumn id="5" xr3:uid="{C406BAA2-9B4D-4E51-9F7C-0714B299C9D8}" name="Soja total" dataDxfId="4"/>
    <tableColumn id="6" xr3:uid="{5AA7F907-4DC6-44A3-8B77-BE6BA65A62F2}" name="Trigo total" dataDxfId="3"/>
    <tableColumn id="7" xr3:uid="{795714F1-6E16-46D8-8994-1155412D4733}" name="Cantidades producidas" dataDxfId="2">
      <calculatedColumnFormula>SUM(G3:K3)/1000</calculatedColumnFormula>
    </tableColumn>
    <tableColumn id="8" xr3:uid="{704D6E5E-CB04-4942-A1E7-8A5AF763B240}" name="Cantidades exportadas" dataDxfId="1"/>
    <tableColumn id="9" xr3:uid="{9418600C-945D-4AE8-B283-912181F8B034}" name="% Exportado" dataDxfId="0" dataCellStyle="Porcentaje">
      <calculatedColumnFormula>Tabla5[[#This Row],[Cantidades exportadas]]/Tabla5[[#This Row],[Cantidades producidas]]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Relationship Id="rId5" Type="http://schemas.openxmlformats.org/officeDocument/2006/relationships/comments" Target="../comments1.xml"/><Relationship Id="rId4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F5DBF-0A60-4833-BE8B-EF1C95059A18}">
  <dimension ref="B3:X37"/>
  <sheetViews>
    <sheetView topLeftCell="F13" workbookViewId="0">
      <selection activeCell="V39" sqref="V39"/>
    </sheetView>
  </sheetViews>
  <sheetFormatPr baseColWidth="10" defaultRowHeight="15" x14ac:dyDescent="0.25"/>
  <sheetData>
    <row r="3" spans="2:19" x14ac:dyDescent="0.25">
      <c r="B3" s="18" t="s">
        <v>0</v>
      </c>
      <c r="C3" s="18" t="s">
        <v>9</v>
      </c>
      <c r="D3" s="19" t="s">
        <v>17</v>
      </c>
      <c r="E3" s="18" t="s">
        <v>10</v>
      </c>
      <c r="F3" s="19" t="s">
        <v>18</v>
      </c>
      <c r="G3" s="18" t="s">
        <v>11</v>
      </c>
      <c r="H3" s="19" t="s">
        <v>19</v>
      </c>
      <c r="I3" s="18" t="s">
        <v>12</v>
      </c>
      <c r="J3" s="19" t="s">
        <v>20</v>
      </c>
      <c r="K3" s="18" t="s">
        <v>13</v>
      </c>
      <c r="L3" s="19" t="s">
        <v>21</v>
      </c>
      <c r="M3" s="18" t="s">
        <v>14</v>
      </c>
      <c r="N3" s="19" t="s">
        <v>22</v>
      </c>
      <c r="O3" s="19" t="s">
        <v>111</v>
      </c>
      <c r="P3" s="18" t="s">
        <v>15</v>
      </c>
      <c r="Q3" s="19" t="s">
        <v>23</v>
      </c>
      <c r="R3" s="18" t="s">
        <v>16</v>
      </c>
      <c r="S3" s="20" t="s">
        <v>24</v>
      </c>
    </row>
    <row r="4" spans="2:19" x14ac:dyDescent="0.25">
      <c r="B4" s="21" t="s">
        <v>27</v>
      </c>
      <c r="C4" s="4">
        <v>16692.818142529999</v>
      </c>
      <c r="D4" s="22">
        <f>Tabla1[[#This Row],[2018]]/$C$18</f>
        <v>0.46400377383080238</v>
      </c>
      <c r="E4" s="4">
        <v>18866.678636680001</v>
      </c>
      <c r="F4" s="22">
        <f>Tabla1[[#This Row],[2019]]/$E$18</f>
        <v>0.46540749627701566</v>
      </c>
      <c r="G4" s="4">
        <v>16730.21085947</v>
      </c>
      <c r="H4" s="22">
        <f>Tabla1[[#This Row],[2020]]/$G$18</f>
        <v>0.4529270826586288</v>
      </c>
      <c r="I4" s="4">
        <v>26388.551737670001</v>
      </c>
      <c r="J4" s="22">
        <f>Tabla1[[#This Row],[2021]]/$I$18</f>
        <v>0.50692841849549541</v>
      </c>
      <c r="K4" s="4">
        <v>28027.96406183</v>
      </c>
      <c r="L4" s="22">
        <f>Tabla1[[#This Row],[2022]]/$K$18</f>
        <v>0.49507978794265095</v>
      </c>
      <c r="M4" s="23">
        <v>16763.83352819</v>
      </c>
      <c r="N4" s="22">
        <f>Tabla1[[#This Row],[2023]]/$M$18</f>
        <v>0.45589239000482612</v>
      </c>
      <c r="O4" s="22"/>
      <c r="P4" s="4">
        <v>22597.250644510001</v>
      </c>
      <c r="Q4" s="22">
        <f>Tabla1[[#This Row],[2024]]/$P$18</f>
        <v>0.49001105921124621</v>
      </c>
      <c r="R4" s="4">
        <v>25045.67335999</v>
      </c>
      <c r="S4" s="64">
        <f>Tabla1[[#This Row],[2025]]/$R$18</f>
        <v>0.49766197713359822</v>
      </c>
    </row>
    <row r="5" spans="2:19" x14ac:dyDescent="0.25">
      <c r="B5" s="21" t="s">
        <v>26</v>
      </c>
      <c r="C5" s="4">
        <v>8151.0614190099996</v>
      </c>
      <c r="D5" s="22">
        <f>Tabla1[[#This Row],[2018]]/$C$18</f>
        <v>0.22657188419918101</v>
      </c>
      <c r="E5" s="4">
        <v>10075.88760493</v>
      </c>
      <c r="F5" s="22">
        <f>Tabla1[[#This Row],[2019]]/$E$18</f>
        <v>0.24855427461737309</v>
      </c>
      <c r="G5" s="4">
        <v>9539.2292980599996</v>
      </c>
      <c r="H5" s="22">
        <f>Tabla1[[#This Row],[2020]]/$G$18</f>
        <v>0.25824990091720262</v>
      </c>
      <c r="I5" s="4">
        <v>13941.49523181</v>
      </c>
      <c r="J5" s="22">
        <f>Tabla1[[#This Row],[2021]]/$I$18</f>
        <v>0.26781841609121781</v>
      </c>
      <c r="K5" s="4">
        <v>16109.674783500001</v>
      </c>
      <c r="L5" s="22">
        <f>Tabla1[[#This Row],[2022]]/$K$18</f>
        <v>0.2845577494692817</v>
      </c>
      <c r="M5" s="23">
        <v>9389.0248854500005</v>
      </c>
      <c r="N5" s="22">
        <f>Tabla1[[#This Row],[2023]]/$M$18</f>
        <v>0.25533449659021668</v>
      </c>
      <c r="O5" s="22"/>
      <c r="P5" s="4">
        <v>11451.61058242</v>
      </c>
      <c r="Q5" s="22">
        <f>Tabla1[[#This Row],[2024]]/$P$18</f>
        <v>0.24832294509817429</v>
      </c>
      <c r="R5" s="4">
        <v>11670.36164259</v>
      </c>
      <c r="S5" s="64">
        <f>Tabla1[[#This Row],[2025]]/$R$18</f>
        <v>0.23189215819581244</v>
      </c>
    </row>
    <row r="6" spans="2:19" x14ac:dyDescent="0.25">
      <c r="B6" s="21" t="s">
        <v>28</v>
      </c>
      <c r="C6" s="4">
        <v>3965.5845414099999</v>
      </c>
      <c r="D6" s="22">
        <f>Tabla1[[#This Row],[2018]]/$C$18</f>
        <v>0.11022981122470016</v>
      </c>
      <c r="E6" s="4">
        <v>4830.0223917100002</v>
      </c>
      <c r="F6" s="22">
        <f>Tabla1[[#This Row],[2019]]/$E$18</f>
        <v>0.11914808491608704</v>
      </c>
      <c r="G6" s="4">
        <v>4370.0763792099997</v>
      </c>
      <c r="H6" s="22">
        <f>Tabla1[[#This Row],[2020]]/$G$18</f>
        <v>0.11830848768475548</v>
      </c>
      <c r="I6" s="4">
        <v>4771.7611856200001</v>
      </c>
      <c r="J6" s="22">
        <f>Tabla1[[#This Row],[2021]]/$I$18</f>
        <v>9.166631709505553E-2</v>
      </c>
      <c r="K6" s="4">
        <v>5751.4830709199996</v>
      </c>
      <c r="L6" s="22">
        <f>Tabla1[[#This Row],[2022]]/$K$18</f>
        <v>0.1015929310036694</v>
      </c>
      <c r="M6" s="23">
        <v>4751.3643760200002</v>
      </c>
      <c r="N6" s="22">
        <f>Tabla1[[#This Row],[2023]]/$M$18</f>
        <v>0.12921333640810875</v>
      </c>
      <c r="O6" s="22"/>
      <c r="P6" s="4">
        <v>5084.9172309599999</v>
      </c>
      <c r="Q6" s="22">
        <f>Tabla1[[#This Row],[2024]]/$P$18</f>
        <v>0.11026410768026669</v>
      </c>
      <c r="R6" s="4">
        <v>6248.8528562800002</v>
      </c>
      <c r="S6" s="64">
        <f>Tabla1[[#This Row],[2025]]/$R$18</f>
        <v>0.1241658158906245</v>
      </c>
    </row>
    <row r="7" spans="2:19" x14ac:dyDescent="0.25">
      <c r="B7" s="21" t="s">
        <v>29</v>
      </c>
      <c r="C7" s="4">
        <v>2604.6934076699999</v>
      </c>
      <c r="D7" s="22">
        <f>Tabla1[[#This Row],[2018]]/$C$18</f>
        <v>7.2401649650267894E-2</v>
      </c>
      <c r="E7" s="4">
        <v>2304.0431763900001</v>
      </c>
      <c r="F7" s="22">
        <f>Tabla1[[#This Row],[2019]]/$E$18</f>
        <v>5.6836658252769706E-2</v>
      </c>
      <c r="G7" s="4">
        <v>2169.1344028100002</v>
      </c>
      <c r="H7" s="22">
        <f>Tabla1[[#This Row],[2020]]/$G$18</f>
        <v>5.8723690048597746E-2</v>
      </c>
      <c r="I7" s="4">
        <v>2163.8294523300001</v>
      </c>
      <c r="J7" s="22">
        <f>Tabla1[[#This Row],[2021]]/$I$18</f>
        <v>4.1567519622449471E-2</v>
      </c>
      <c r="K7" s="4">
        <v>2021.26823627</v>
      </c>
      <c r="L7" s="22">
        <f>Tabla1[[#This Row],[2022]]/$K$18</f>
        <v>3.5703237223375789E-2</v>
      </c>
      <c r="M7" s="23">
        <v>1811.6595808500001</v>
      </c>
      <c r="N7" s="22">
        <f>Tabla1[[#This Row],[2023]]/$M$18</f>
        <v>4.9268075515065277E-2</v>
      </c>
      <c r="O7" s="22"/>
      <c r="P7" s="4">
        <v>2124.9904663500001</v>
      </c>
      <c r="Q7" s="22">
        <f>Tabla1[[#This Row],[2024]]/$P$18</f>
        <v>4.6079447699666938E-2</v>
      </c>
      <c r="R7" s="4">
        <v>2237.4267287399998</v>
      </c>
      <c r="S7" s="64">
        <f>Tabla1[[#This Row],[2025]]/$R$18</f>
        <v>4.4458066409788548E-2</v>
      </c>
    </row>
    <row r="8" spans="2:19" x14ac:dyDescent="0.25">
      <c r="B8" s="21" t="s">
        <v>30</v>
      </c>
      <c r="C8" s="4">
        <v>2154.5058795</v>
      </c>
      <c r="D8" s="22">
        <f>Tabla1[[#This Row],[2018]]/$C$18</f>
        <v>5.9887962014132115E-2</v>
      </c>
      <c r="E8" s="4">
        <v>1863.3631737200001</v>
      </c>
      <c r="F8" s="22">
        <f>Tabla1[[#This Row],[2019]]/$E$18</f>
        <v>4.5965864264512941E-2</v>
      </c>
      <c r="G8" s="4">
        <v>1730.2871587499999</v>
      </c>
      <c r="H8" s="22">
        <f>Tabla1[[#This Row],[2020]]/$G$18</f>
        <v>4.6843038713449421E-2</v>
      </c>
      <c r="I8" s="4">
        <v>1990.11787841</v>
      </c>
      <c r="J8" s="22">
        <f>Tabla1[[#This Row],[2021]]/$I$18</f>
        <v>3.8230491720462598E-2</v>
      </c>
      <c r="K8" s="4">
        <v>1837.4961766900001</v>
      </c>
      <c r="L8" s="22">
        <f>Tabla1[[#This Row],[2022]]/$K$18</f>
        <v>3.245712801309053E-2</v>
      </c>
      <c r="M8" s="23">
        <v>1780.66819317</v>
      </c>
      <c r="N8" s="22">
        <f>Tabla1[[#This Row],[2023]]/$M$18</f>
        <v>4.8425264843195828E-2</v>
      </c>
      <c r="O8" s="22"/>
      <c r="P8" s="4">
        <v>2012.7576096499999</v>
      </c>
      <c r="Q8" s="22">
        <f>Tabla1[[#This Row],[2024]]/$P$18</f>
        <v>4.3645729463097652E-2</v>
      </c>
      <c r="R8" s="4">
        <v>2091.4816412800001</v>
      </c>
      <c r="S8" s="64">
        <f>Tabla1[[#This Row],[2025]]/$R$18</f>
        <v>4.1558111605845979E-2</v>
      </c>
    </row>
    <row r="9" spans="2:19" x14ac:dyDescent="0.25">
      <c r="B9" s="21" t="s">
        <v>31</v>
      </c>
      <c r="C9" s="4">
        <v>812.67796936000002</v>
      </c>
      <c r="D9" s="22">
        <f>Tabla1[[#This Row],[2018]]/$C$18</f>
        <v>2.2589693452147157E-2</v>
      </c>
      <c r="E9" s="4">
        <v>879.64860351000004</v>
      </c>
      <c r="F9" s="22">
        <f>Tabla1[[#This Row],[2019]]/$E$18</f>
        <v>2.1699370729049757E-2</v>
      </c>
      <c r="G9" s="4">
        <v>894.00386940999999</v>
      </c>
      <c r="H9" s="22">
        <f>Tabla1[[#This Row],[2020]]/$G$18</f>
        <v>2.4202836883445267E-2</v>
      </c>
      <c r="I9" s="4">
        <v>929.40610604000005</v>
      </c>
      <c r="J9" s="22">
        <f>Tabla1[[#This Row],[2021]]/$I$18</f>
        <v>1.7854044138479644E-2</v>
      </c>
      <c r="K9" s="4">
        <v>928.12720141</v>
      </c>
      <c r="L9" s="22">
        <f>Tabla1[[#This Row],[2022]]/$K$18</f>
        <v>1.6394234595285388E-2</v>
      </c>
      <c r="M9" s="23">
        <v>868.44287426999995</v>
      </c>
      <c r="N9" s="22">
        <f>Tabla1[[#This Row],[2023]]/$M$18</f>
        <v>2.3617300712742064E-2</v>
      </c>
      <c r="O9" s="22"/>
      <c r="P9" s="4">
        <v>975.58590830000003</v>
      </c>
      <c r="Q9" s="22">
        <f>Tabla1[[#This Row],[2024]]/$P$18</f>
        <v>2.115513483467912E-2</v>
      </c>
      <c r="R9" s="4">
        <v>1047.29402822</v>
      </c>
      <c r="S9" s="64">
        <f>Tabla1[[#This Row],[2025]]/$R$18</f>
        <v>2.0809918313347504E-2</v>
      </c>
    </row>
    <row r="10" spans="2:19" x14ac:dyDescent="0.25">
      <c r="B10" s="21" t="s">
        <v>1</v>
      </c>
      <c r="C10" s="4">
        <v>668.84108884</v>
      </c>
      <c r="D10" s="22">
        <f>Tabla1[[#This Row],[2018]]/$C$18</f>
        <v>1.8591515624564663E-2</v>
      </c>
      <c r="E10" s="4">
        <v>690.59436936999998</v>
      </c>
      <c r="F10" s="22">
        <f>Tabla1[[#This Row],[2019]]/$E$18</f>
        <v>1.7035738116969106E-2</v>
      </c>
      <c r="G10" s="4">
        <v>605.60919144000002</v>
      </c>
      <c r="H10" s="22">
        <f>Tabla1[[#This Row],[2020]]/$G$18</f>
        <v>1.6395298697320766E-2</v>
      </c>
      <c r="I10" s="4">
        <v>861.38740479000001</v>
      </c>
      <c r="J10" s="22">
        <f>Tabla1[[#This Row],[2021]]/$I$18</f>
        <v>1.6547393701746561E-2</v>
      </c>
      <c r="K10" s="4">
        <v>793.47121387000004</v>
      </c>
      <c r="L10" s="22">
        <f>Tabla1[[#This Row],[2022]]/$K$18</f>
        <v>1.4015700870557944E-2</v>
      </c>
      <c r="M10" s="23">
        <v>627.86903456000005</v>
      </c>
      <c r="N10" s="22">
        <f>Tabla1[[#This Row],[2023]]/$M$18</f>
        <v>1.7074896042974887E-2</v>
      </c>
      <c r="O10" s="22"/>
      <c r="P10" s="4">
        <v>743.92382044999999</v>
      </c>
      <c r="Q10" s="22">
        <f>Tabla1[[#This Row],[2024]]/$P$18</f>
        <v>1.6131648268447391E-2</v>
      </c>
      <c r="R10" s="4">
        <v>820.65896598999996</v>
      </c>
      <c r="S10" s="64">
        <f>Tabla1[[#This Row],[2025]]/$R$18</f>
        <v>1.6306639382250604E-2</v>
      </c>
    </row>
    <row r="11" spans="2:19" x14ac:dyDescent="0.25">
      <c r="B11" s="21" t="s">
        <v>2</v>
      </c>
      <c r="C11" s="4">
        <v>120.73894652</v>
      </c>
      <c r="D11" s="22">
        <f>Tabla1[[#This Row],[2018]]/$C$18</f>
        <v>3.3561335393032929E-3</v>
      </c>
      <c r="E11" s="4">
        <v>157.9916594</v>
      </c>
      <c r="F11" s="22">
        <f>Tabla1[[#This Row],[2019]]/$E$18</f>
        <v>3.8973739919992778E-3</v>
      </c>
      <c r="G11" s="4">
        <v>162.73469587</v>
      </c>
      <c r="H11" s="22">
        <f>Tabla1[[#This Row],[2020]]/$G$18</f>
        <v>4.4056199689806712E-3</v>
      </c>
      <c r="I11" s="4">
        <v>216.612064</v>
      </c>
      <c r="J11" s="22">
        <f>Tabla1[[#This Row],[2021]]/$I$18</f>
        <v>4.1611533714377502E-3</v>
      </c>
      <c r="K11" s="4">
        <v>217.71518137000001</v>
      </c>
      <c r="L11" s="22">
        <f>Tabla1[[#This Row],[2022]]/$K$18</f>
        <v>3.8456730423507548E-3</v>
      </c>
      <c r="M11" s="23">
        <v>147.36271029</v>
      </c>
      <c r="N11" s="22">
        <f>Tabla1[[#This Row],[2023]]/$M$18</f>
        <v>4.0075283543423799E-3</v>
      </c>
      <c r="O11" s="22"/>
      <c r="P11" s="4">
        <v>422.14544888</v>
      </c>
      <c r="Q11" s="22">
        <f>Tabla1[[#This Row],[2024]]/$P$18</f>
        <v>9.1540312492463076E-3</v>
      </c>
      <c r="R11" s="4">
        <v>438.81170348000001</v>
      </c>
      <c r="S11" s="64">
        <f>Tabla1[[#This Row],[2025]]/$R$18</f>
        <v>8.7192664698756677E-3</v>
      </c>
    </row>
    <row r="12" spans="2:19" x14ac:dyDescent="0.25">
      <c r="B12" s="21" t="s">
        <v>3</v>
      </c>
      <c r="C12" s="4">
        <v>325.87700405999999</v>
      </c>
      <c r="D12" s="22">
        <f>Tabla1[[#This Row],[2018]]/$C$18</f>
        <v>9.0582763436011567E-3</v>
      </c>
      <c r="E12" s="4">
        <v>451.38045793999999</v>
      </c>
      <c r="F12" s="22">
        <f>Tabla1[[#This Row],[2019]]/$E$18</f>
        <v>1.1134755239314106E-2</v>
      </c>
      <c r="G12" s="4">
        <v>332.20541936000001</v>
      </c>
      <c r="H12" s="22">
        <f>Tabla1[[#This Row],[2020]]/$G$18</f>
        <v>8.9936004212966495E-3</v>
      </c>
      <c r="I12" s="4">
        <v>339.69902180999998</v>
      </c>
      <c r="J12" s="22">
        <f>Tabla1[[#This Row],[2021]]/$I$18</f>
        <v>6.5256740726997893E-3</v>
      </c>
      <c r="K12" s="4">
        <v>423.53248845000002</v>
      </c>
      <c r="L12" s="22">
        <f>Tabla1[[#This Row],[2022]]/$K$18</f>
        <v>7.481184652088451E-3</v>
      </c>
      <c r="M12" s="23">
        <v>215.31959810000001</v>
      </c>
      <c r="N12" s="22">
        <f>Tabla1[[#This Row],[2023]]/$M$18</f>
        <v>5.8556156637810681E-3</v>
      </c>
      <c r="O12" s="22"/>
      <c r="P12" s="4">
        <v>260.31930887999999</v>
      </c>
      <c r="Q12" s="22">
        <f>Tabla1[[#This Row],[2024]]/$P$18</f>
        <v>5.6449053154357474E-3</v>
      </c>
      <c r="R12" s="4">
        <v>257.41744685999998</v>
      </c>
      <c r="S12" s="64">
        <f>Tabla1[[#This Row],[2025]]/$R$18</f>
        <v>5.1149303798586985E-3</v>
      </c>
    </row>
    <row r="13" spans="2:19" x14ac:dyDescent="0.25">
      <c r="B13" s="21" t="s">
        <v>4</v>
      </c>
      <c r="C13" s="4">
        <v>180.19325221</v>
      </c>
      <c r="D13" s="22">
        <f>Tabla1[[#This Row],[2018]]/$C$18</f>
        <v>5.0087617519334821E-3</v>
      </c>
      <c r="E13" s="4">
        <v>151.62432656999999</v>
      </c>
      <c r="F13" s="22">
        <f>Tabla1[[#This Row],[2019]]/$E$18</f>
        <v>3.7403031854498199E-3</v>
      </c>
      <c r="G13" s="4">
        <v>172.72444522000001</v>
      </c>
      <c r="H13" s="22">
        <f>Tabla1[[#This Row],[2020]]/$G$18</f>
        <v>4.6760665322423236E-3</v>
      </c>
      <c r="I13" s="4">
        <v>223.33436928</v>
      </c>
      <c r="J13" s="22">
        <f>Tabla1[[#This Row],[2021]]/$I$18</f>
        <v>4.2902899613541171E-3</v>
      </c>
      <c r="K13" s="4">
        <v>252.35681592</v>
      </c>
      <c r="L13" s="22">
        <f>Tabla1[[#This Row],[2022]]/$K$18</f>
        <v>4.4575752500589884E-3</v>
      </c>
      <c r="M13" s="23">
        <v>187.43787874</v>
      </c>
      <c r="N13" s="22">
        <f>Tabla1[[#This Row],[2023]]/$M$18</f>
        <v>5.0973724102257667E-3</v>
      </c>
      <c r="O13" s="22"/>
      <c r="P13" s="4">
        <v>190.75895459</v>
      </c>
      <c r="Q13" s="22">
        <f>Tabla1[[#This Row],[2024]]/$P$18</f>
        <v>4.1365208034892251E-3</v>
      </c>
      <c r="R13" s="4">
        <v>215.94830414</v>
      </c>
      <c r="S13" s="64">
        <f>Tabla1[[#This Row],[2025]]/$R$18</f>
        <v>4.2909311501538681E-3</v>
      </c>
    </row>
    <row r="14" spans="2:19" x14ac:dyDescent="0.25">
      <c r="B14" s="21" t="s">
        <v>5</v>
      </c>
      <c r="C14" s="4">
        <v>99.500481399999998</v>
      </c>
      <c r="D14" s="22">
        <f>Tabla1[[#This Row],[2018]]/$C$18</f>
        <v>2.7657761843072558E-3</v>
      </c>
      <c r="E14" s="4">
        <v>85.943038810000004</v>
      </c>
      <c r="F14" s="22">
        <f>Tabla1[[#This Row],[2019]]/$E$18</f>
        <v>2.1200623217929094E-3</v>
      </c>
      <c r="G14" s="4">
        <v>93.995449500000007</v>
      </c>
      <c r="H14" s="22">
        <f>Tabla1[[#This Row],[2020]]/$G$18</f>
        <v>2.5446830935261836E-3</v>
      </c>
      <c r="I14" s="4">
        <v>79.028726059999997</v>
      </c>
      <c r="J14" s="22">
        <f>Tabla1[[#This Row],[2021]]/$I$18</f>
        <v>1.5181548239390739E-3</v>
      </c>
      <c r="K14" s="4">
        <v>94.336749530000006</v>
      </c>
      <c r="L14" s="22">
        <f>Tabla1[[#This Row],[2022]]/$K$18</f>
        <v>1.6663435792011634E-3</v>
      </c>
      <c r="M14" s="23">
        <v>90.787581220000007</v>
      </c>
      <c r="N14" s="22">
        <f>Tabla1[[#This Row],[2023]]/$M$18</f>
        <v>2.4689679312039732E-3</v>
      </c>
      <c r="O14" s="22"/>
      <c r="P14" s="4">
        <v>101.51700682000001</v>
      </c>
      <c r="Q14" s="22">
        <f>Tabla1[[#This Row],[2024]]/$P$18</f>
        <v>2.2013499262534806E-3</v>
      </c>
      <c r="R14" s="4">
        <v>116.57685981</v>
      </c>
      <c r="S14" s="64">
        <f>Tabla1[[#This Row],[2025]]/$R$18</f>
        <v>2.3164029054914604E-3</v>
      </c>
    </row>
    <row r="15" spans="2:19" x14ac:dyDescent="0.25">
      <c r="B15" s="21" t="s">
        <v>6</v>
      </c>
      <c r="C15" s="4">
        <v>104.414912</v>
      </c>
      <c r="D15" s="22">
        <f>Tabla1[[#This Row],[2018]]/$C$18</f>
        <v>2.9023807004027011E-3</v>
      </c>
      <c r="E15" s="4">
        <v>91.537574169999999</v>
      </c>
      <c r="F15" s="22">
        <f>Tabla1[[#This Row],[2019]]/$E$18</f>
        <v>2.2580695855446082E-3</v>
      </c>
      <c r="G15" s="4">
        <v>60.13862924</v>
      </c>
      <c r="H15" s="22">
        <f>Tabla1[[#This Row],[2020]]/$G$18</f>
        <v>1.6280974654508929E-3</v>
      </c>
      <c r="I15" s="4">
        <v>69.766329380000002</v>
      </c>
      <c r="J15" s="22">
        <f>Tabla1[[#This Row],[2021]]/$I$18</f>
        <v>1.3402226605089898E-3</v>
      </c>
      <c r="K15" s="4">
        <v>74.519668019999997</v>
      </c>
      <c r="L15" s="22">
        <f>Tabla1[[#This Row],[2022]]/$K$18</f>
        <v>1.3162990133536484E-3</v>
      </c>
      <c r="M15" s="23">
        <v>61.66465367</v>
      </c>
      <c r="N15" s="22">
        <f>Tabla1[[#This Row],[2023]]/$M$18</f>
        <v>1.6769700255709642E-3</v>
      </c>
      <c r="O15" s="22"/>
      <c r="P15" s="4">
        <v>67.741522660000001</v>
      </c>
      <c r="Q15" s="22">
        <f>Tabla1[[#This Row],[2024]]/$P$18</f>
        <v>1.4689439787788404E-3</v>
      </c>
      <c r="R15" s="4">
        <v>68.795335539999996</v>
      </c>
      <c r="S15" s="64">
        <f>Tabla1[[#This Row],[2025]]/$R$18</f>
        <v>1.3669755334707186E-3</v>
      </c>
    </row>
    <row r="16" spans="2:19" x14ac:dyDescent="0.25">
      <c r="B16" s="21" t="s">
        <v>7</v>
      </c>
      <c r="C16" s="4">
        <v>94.701525899999993</v>
      </c>
      <c r="D16" s="22">
        <f>Tabla1[[#This Row],[2018]]/$C$18</f>
        <v>2.6323814846565836E-3</v>
      </c>
      <c r="E16" s="4">
        <v>89.262538950000007</v>
      </c>
      <c r="F16" s="22">
        <f>Tabla1[[#This Row],[2019]]/$E$18</f>
        <v>2.2019485021217045E-3</v>
      </c>
      <c r="G16" s="4">
        <v>77.628741750000003</v>
      </c>
      <c r="H16" s="22">
        <f>Tabla1[[#This Row],[2020]]/$G$18</f>
        <v>2.1015969151031637E-3</v>
      </c>
      <c r="I16" s="4">
        <v>80.785578340000001</v>
      </c>
      <c r="J16" s="22">
        <f>Tabla1[[#This Row],[2021]]/$I$18</f>
        <v>1.5519042451533978E-3</v>
      </c>
      <c r="K16" s="4">
        <v>81.078645339999994</v>
      </c>
      <c r="L16" s="22">
        <f>Tabla1[[#This Row],[2022]]/$K$18</f>
        <v>1.4321553450352099E-3</v>
      </c>
      <c r="M16" s="23">
        <v>76.03551324</v>
      </c>
      <c r="N16" s="22">
        <f>Tabla1[[#This Row],[2023]]/$M$18</f>
        <v>2.0677854977464629E-3</v>
      </c>
      <c r="O16" s="22"/>
      <c r="P16" s="4">
        <v>82.278720359999994</v>
      </c>
      <c r="Q16" s="22">
        <f>Tabla1[[#This Row],[2024]]/$P$18</f>
        <v>1.7841764712179557E-3</v>
      </c>
      <c r="R16" s="4">
        <v>67.377688239999998</v>
      </c>
      <c r="S16" s="64">
        <f>Tabla1[[#This Row],[2025]]/$R$18</f>
        <v>1.3388066298818397E-3</v>
      </c>
    </row>
    <row r="17" spans="2:24" x14ac:dyDescent="0.25">
      <c r="B17" s="24" t="s">
        <v>25</v>
      </c>
      <c r="C17" s="4">
        <f>SUM(C10:C16)</f>
        <v>1594.2672109299999</v>
      </c>
      <c r="D17" s="22">
        <f>Tabla1[[#This Row],[2018]]/$C$18</f>
        <v>4.4315225628769134E-2</v>
      </c>
      <c r="E17" s="4">
        <f>SUM(E10:E16)</f>
        <v>1718.3339652099999</v>
      </c>
      <c r="F17" s="22">
        <f>Tabla1[[#This Row],[2019]]/$E$18</f>
        <v>4.2388250943191534E-2</v>
      </c>
      <c r="G17" s="4">
        <f>SUM(G10:G16)</f>
        <v>1505.0365723800001</v>
      </c>
      <c r="H17" s="22">
        <f>Tabla1[[#This Row],[2020]]/$G$18</f>
        <v>4.0744963093920651E-2</v>
      </c>
      <c r="I17" s="4">
        <f>SUM(I10:I16)</f>
        <v>1870.6134936600001</v>
      </c>
      <c r="J17" s="22">
        <f>Tabla1[[#This Row],[2021]]/$I$18</f>
        <v>3.5934792836839681E-2</v>
      </c>
      <c r="K17" s="4">
        <f>SUM(K10:K16)</f>
        <v>1937.0107624999998</v>
      </c>
      <c r="L17" s="22">
        <f>Tabla1[[#This Row],[2022]]/$K$18</f>
        <v>3.4214931752646158E-2</v>
      </c>
      <c r="M17" s="4">
        <f>SUM(M10:M16)</f>
        <v>1406.47696982</v>
      </c>
      <c r="N17" s="25">
        <f>Tabla1[[#This Row],[2023]]/$M$18</f>
        <v>3.8249135925845501E-2</v>
      </c>
      <c r="O17" s="25"/>
      <c r="P17" s="4">
        <f>SUM(P10:P16)</f>
        <v>1868.6847826400003</v>
      </c>
      <c r="Q17" s="22">
        <f>Tabla1[[#This Row],[2024]]/$P$18</f>
        <v>4.0521576012868953E-2</v>
      </c>
      <c r="R17" s="4">
        <f>SUM(R10:R16)</f>
        <v>1985.5863040599997</v>
      </c>
      <c r="S17" s="64">
        <f>Tabla1[[#This Row],[2025]]/$R$18</f>
        <v>3.9453952450982849E-2</v>
      </c>
    </row>
    <row r="18" spans="2:24" x14ac:dyDescent="0.25">
      <c r="B18" s="18" t="s">
        <v>8</v>
      </c>
      <c r="C18" s="26">
        <f t="shared" ref="C18:S18" si="0">SUM(C4:C16)</f>
        <v>35975.608570410004</v>
      </c>
      <c r="D18" s="27">
        <f t="shared" si="0"/>
        <v>0.99999999999999978</v>
      </c>
      <c r="E18" s="26">
        <f t="shared" si="0"/>
        <v>40537.977552150012</v>
      </c>
      <c r="F18" s="27">
        <f t="shared" si="0"/>
        <v>0.99999999999999989</v>
      </c>
      <c r="G18" s="26">
        <f t="shared" si="0"/>
        <v>36937.97854009</v>
      </c>
      <c r="H18" s="27">
        <f t="shared" si="0"/>
        <v>1</v>
      </c>
      <c r="I18" s="26">
        <f t="shared" si="0"/>
        <v>52055.775085539994</v>
      </c>
      <c r="J18" s="27">
        <f t="shared" si="0"/>
        <v>1.0000000000000002</v>
      </c>
      <c r="K18" s="26">
        <f t="shared" si="0"/>
        <v>56613.024293120005</v>
      </c>
      <c r="L18" s="27">
        <f t="shared" si="0"/>
        <v>0.99999999999999978</v>
      </c>
      <c r="M18" s="26">
        <f t="shared" si="0"/>
        <v>36771.470407769993</v>
      </c>
      <c r="N18" s="27">
        <f t="shared" si="0"/>
        <v>1.0000000000000004</v>
      </c>
      <c r="O18" s="27"/>
      <c r="P18" s="26">
        <f t="shared" si="0"/>
        <v>46115.797224830007</v>
      </c>
      <c r="Q18" s="27">
        <f t="shared" si="0"/>
        <v>0.99999999999999989</v>
      </c>
      <c r="R18" s="26">
        <f>SUM(R4:R16)</f>
        <v>50326.676561159999</v>
      </c>
      <c r="S18" s="27">
        <f t="shared" si="0"/>
        <v>1.0000000000000002</v>
      </c>
    </row>
    <row r="21" spans="2:24" ht="15" customHeight="1" x14ac:dyDescent="0.25">
      <c r="D21" s="87" t="s">
        <v>33</v>
      </c>
      <c r="E21" s="88"/>
      <c r="F21" s="88"/>
    </row>
    <row r="22" spans="2:24" x14ac:dyDescent="0.25">
      <c r="L22" s="28" t="s">
        <v>0</v>
      </c>
      <c r="M22" s="29" t="s">
        <v>12</v>
      </c>
      <c r="N22" s="29" t="s">
        <v>16</v>
      </c>
      <c r="O22" s="30" t="s">
        <v>74</v>
      </c>
      <c r="P22" s="30" t="s">
        <v>34</v>
      </c>
      <c r="R22" s="87" t="s">
        <v>32</v>
      </c>
      <c r="S22" s="88"/>
      <c r="T22" s="88"/>
      <c r="V22" t="s">
        <v>0</v>
      </c>
      <c r="W22" t="s">
        <v>112</v>
      </c>
      <c r="X22" t="s">
        <v>110</v>
      </c>
    </row>
    <row r="23" spans="2:24" x14ac:dyDescent="0.25">
      <c r="L23" s="31" t="s">
        <v>27</v>
      </c>
      <c r="M23" s="4">
        <v>26388.551737670001</v>
      </c>
      <c r="N23" s="4">
        <v>25045.67335999</v>
      </c>
      <c r="O23" s="4">
        <f>M23*$X$23</f>
        <v>31352.612282665028</v>
      </c>
      <c r="P23" s="32">
        <f>(N23-O23)/O23</f>
        <v>-0.20116151298059962</v>
      </c>
      <c r="V23">
        <v>2025</v>
      </c>
      <c r="W23">
        <v>321.94299999999998</v>
      </c>
      <c r="X23">
        <v>1.1881141714158101</v>
      </c>
    </row>
    <row r="24" spans="2:24" x14ac:dyDescent="0.25">
      <c r="L24" s="33" t="s">
        <v>26</v>
      </c>
      <c r="M24" s="4">
        <v>13941.49523181</v>
      </c>
      <c r="N24" s="4">
        <v>11670.36164259</v>
      </c>
      <c r="O24" s="4">
        <f t="shared" ref="O24:O37" si="1">M24*$X$23</f>
        <v>16564.088055639408</v>
      </c>
      <c r="P24" s="32">
        <f t="shared" ref="P24:P37" si="2">(N24-O24)/O24</f>
        <v>-0.29544194625210835</v>
      </c>
    </row>
    <row r="25" spans="2:24" x14ac:dyDescent="0.25">
      <c r="L25" s="31" t="s">
        <v>28</v>
      </c>
      <c r="M25" s="4">
        <v>4771.7611856200001</v>
      </c>
      <c r="N25" s="4">
        <v>6248.8528562800002</v>
      </c>
      <c r="O25" s="4">
        <f t="shared" si="1"/>
        <v>5669.39708724703</v>
      </c>
      <c r="P25" s="32">
        <f t="shared" si="2"/>
        <v>0.10220765279193821</v>
      </c>
    </row>
    <row r="26" spans="2:24" x14ac:dyDescent="0.25">
      <c r="L26" s="33" t="s">
        <v>29</v>
      </c>
      <c r="M26" s="4">
        <v>2163.8294523300001</v>
      </c>
      <c r="N26" s="4">
        <v>2237.4267287399998</v>
      </c>
      <c r="O26" s="4">
        <f t="shared" si="1"/>
        <v>2570.8764368401844</v>
      </c>
      <c r="P26" s="32">
        <f t="shared" si="2"/>
        <v>-0.12970273612605876</v>
      </c>
    </row>
    <row r="27" spans="2:24" x14ac:dyDescent="0.25">
      <c r="L27" s="31" t="s">
        <v>30</v>
      </c>
      <c r="M27" s="4">
        <v>1990.11787841</v>
      </c>
      <c r="N27" s="4">
        <v>2091.4816412800001</v>
      </c>
      <c r="O27" s="4">
        <f t="shared" si="1"/>
        <v>2364.4872541268869</v>
      </c>
      <c r="P27" s="32">
        <f t="shared" si="2"/>
        <v>-0.11546080968311126</v>
      </c>
    </row>
    <row r="28" spans="2:24" x14ac:dyDescent="0.25">
      <c r="L28" s="33" t="s">
        <v>31</v>
      </c>
      <c r="M28" s="4">
        <v>929.40610604000005</v>
      </c>
      <c r="N28" s="4">
        <v>1047.29402822</v>
      </c>
      <c r="O28" s="4">
        <f t="shared" si="1"/>
        <v>1104.2405655865093</v>
      </c>
      <c r="P28" s="32">
        <f t="shared" si="2"/>
        <v>-5.1570771026929814E-2</v>
      </c>
    </row>
    <row r="29" spans="2:24" x14ac:dyDescent="0.25">
      <c r="L29" s="31" t="s">
        <v>1</v>
      </c>
      <c r="M29" s="4">
        <v>861.38740479000001</v>
      </c>
      <c r="N29" s="4">
        <v>820.65896598999996</v>
      </c>
      <c r="O29" s="4">
        <f t="shared" si="1"/>
        <v>1023.4265827100859</v>
      </c>
      <c r="P29" s="32">
        <f t="shared" si="2"/>
        <v>-0.19812619697951064</v>
      </c>
    </row>
    <row r="30" spans="2:24" x14ac:dyDescent="0.25">
      <c r="L30" s="33" t="s">
        <v>2</v>
      </c>
      <c r="M30" s="4">
        <v>216.612064</v>
      </c>
      <c r="N30" s="4">
        <v>438.81170348000001</v>
      </c>
      <c r="O30" s="4">
        <f t="shared" si="1"/>
        <v>257.35986293802841</v>
      </c>
      <c r="P30" s="32">
        <f t="shared" si="2"/>
        <v>0.70505104591878309</v>
      </c>
    </row>
    <row r="31" spans="2:24" x14ac:dyDescent="0.25">
      <c r="L31" s="31" t="s">
        <v>3</v>
      </c>
      <c r="M31" s="4">
        <v>339.69902180999998</v>
      </c>
      <c r="N31" s="4">
        <v>257.41744685999998</v>
      </c>
      <c r="O31" s="4">
        <f t="shared" si="1"/>
        <v>403.60122182854934</v>
      </c>
      <c r="P31" s="32">
        <f t="shared" si="2"/>
        <v>-0.3621985441626055</v>
      </c>
    </row>
    <row r="32" spans="2:24" x14ac:dyDescent="0.25">
      <c r="L32" s="33" t="s">
        <v>4</v>
      </c>
      <c r="M32" s="4">
        <v>223.33436928</v>
      </c>
      <c r="N32" s="4">
        <v>215.94830414</v>
      </c>
      <c r="O32" s="4">
        <f t="shared" si="1"/>
        <v>265.34672910577979</v>
      </c>
      <c r="P32" s="32">
        <f t="shared" si="2"/>
        <v>-0.18616556960115091</v>
      </c>
    </row>
    <row r="33" spans="12:16" x14ac:dyDescent="0.25">
      <c r="L33" s="31" t="s">
        <v>5</v>
      </c>
      <c r="M33" s="4">
        <v>79.028726059999997</v>
      </c>
      <c r="N33" s="4">
        <v>116.57685981</v>
      </c>
      <c r="O33" s="4">
        <f t="shared" si="1"/>
        <v>93.895149380823938</v>
      </c>
      <c r="P33" s="32">
        <f t="shared" si="2"/>
        <v>0.24156424031216586</v>
      </c>
    </row>
    <row r="34" spans="12:16" x14ac:dyDescent="0.25">
      <c r="L34" s="33" t="s">
        <v>6</v>
      </c>
      <c r="M34" s="4">
        <v>69.766329380000002</v>
      </c>
      <c r="N34" s="4">
        <v>68.795335539999996</v>
      </c>
      <c r="O34" s="4">
        <f t="shared" si="1"/>
        <v>82.890364624041197</v>
      </c>
      <c r="P34" s="32">
        <f t="shared" si="2"/>
        <v>-0.17004424034048868</v>
      </c>
    </row>
    <row r="35" spans="12:16" x14ac:dyDescent="0.25">
      <c r="L35" s="31" t="s">
        <v>7</v>
      </c>
      <c r="M35" s="4">
        <v>80.785578340000001</v>
      </c>
      <c r="N35" s="4">
        <v>67.377688239999998</v>
      </c>
      <c r="O35" s="4">
        <f t="shared" si="1"/>
        <v>95.982490471776117</v>
      </c>
      <c r="P35" s="32">
        <f t="shared" si="2"/>
        <v>-0.2980210462468405</v>
      </c>
    </row>
    <row r="36" spans="12:16" x14ac:dyDescent="0.25">
      <c r="L36" s="34" t="s">
        <v>25</v>
      </c>
      <c r="M36" s="4">
        <f>SUM(M29:M35)</f>
        <v>1870.6134936600001</v>
      </c>
      <c r="N36" s="4">
        <f>SUM(N29:N35)</f>
        <v>1985.5863040599997</v>
      </c>
      <c r="O36" s="4">
        <f t="shared" si="1"/>
        <v>2222.5024010590846</v>
      </c>
      <c r="P36" s="32">
        <f t="shared" si="2"/>
        <v>-0.10659880362162386</v>
      </c>
    </row>
    <row r="37" spans="12:16" x14ac:dyDescent="0.25">
      <c r="L37" s="35" t="s">
        <v>8</v>
      </c>
      <c r="M37" s="36">
        <f t="shared" ref="M37:N37" si="3">SUM(M23:M35)</f>
        <v>52055.775085539994</v>
      </c>
      <c r="N37" s="36">
        <f t="shared" si="3"/>
        <v>50326.676561159999</v>
      </c>
      <c r="O37" s="4">
        <f t="shared" si="1"/>
        <v>61848.204083164121</v>
      </c>
      <c r="P37" s="32">
        <f t="shared" si="2"/>
        <v>-0.18628717992379717</v>
      </c>
    </row>
  </sheetData>
  <mergeCells count="2">
    <mergeCell ref="R22:T22"/>
    <mergeCell ref="D21:F21"/>
  </mergeCells>
  <phoneticPr fontId="1" type="noConversion"/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74940-1AE4-4EF8-9735-1E63AA51012D}">
  <dimension ref="D1:P7"/>
  <sheetViews>
    <sheetView workbookViewId="0">
      <selection activeCell="J4" sqref="J4"/>
    </sheetView>
  </sheetViews>
  <sheetFormatPr baseColWidth="10" defaultRowHeight="15" x14ac:dyDescent="0.25"/>
  <sheetData>
    <row r="1" spans="4:16" x14ac:dyDescent="0.25">
      <c r="D1" s="1"/>
      <c r="E1" s="1"/>
      <c r="F1" s="1"/>
      <c r="G1" s="1"/>
      <c r="H1" s="1"/>
      <c r="I1" s="1"/>
    </row>
    <row r="2" spans="4:16" x14ac:dyDescent="0.25">
      <c r="D2" s="2" t="s">
        <v>40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5" t="s">
        <v>74</v>
      </c>
      <c r="K2" s="5" t="s">
        <v>41</v>
      </c>
      <c r="N2" t="s">
        <v>0</v>
      </c>
      <c r="O2" t="s">
        <v>112</v>
      </c>
      <c r="P2" t="s">
        <v>110</v>
      </c>
    </row>
    <row r="3" spans="4:16" x14ac:dyDescent="0.25">
      <c r="D3" s="3" t="s">
        <v>35</v>
      </c>
      <c r="E3" s="4">
        <v>23841.057393350002</v>
      </c>
      <c r="F3" s="4">
        <v>24899.785205330001</v>
      </c>
      <c r="G3" s="4">
        <v>13947.591219510001</v>
      </c>
      <c r="H3" s="4">
        <v>19628.06251421</v>
      </c>
      <c r="I3" s="4">
        <v>21442.195418300002</v>
      </c>
      <c r="J3" s="79">
        <f>Tabla2[[#This Row],[2021]]*$P$3</f>
        <v>28325.898150576875</v>
      </c>
      <c r="K3" s="6">
        <f>(Tabla2[[#This Row],[2025]]-Tabla2[[#This Row],[2021 D]])/Tabla2[[#This Row],[2021 D]]</f>
        <v>-0.24301798642655512</v>
      </c>
      <c r="N3">
        <v>2025</v>
      </c>
      <c r="O3">
        <v>321.94299999999998</v>
      </c>
      <c r="P3">
        <v>1.1881141714158128</v>
      </c>
    </row>
    <row r="4" spans="4:16" x14ac:dyDescent="0.25">
      <c r="D4" s="3" t="s">
        <v>36</v>
      </c>
      <c r="E4" s="4">
        <v>1333.8564486499999</v>
      </c>
      <c r="F4" s="4">
        <v>1895.45360205</v>
      </c>
      <c r="G4" s="4">
        <v>1420.22222992</v>
      </c>
      <c r="H4" s="4">
        <v>1453.1729532899999</v>
      </c>
      <c r="I4" s="4">
        <v>2174.7236105299999</v>
      </c>
      <c r="J4" s="79">
        <f>Tabla2[[#This Row],[2021]]*$P$3</f>
        <v>1584.7737492754334</v>
      </c>
      <c r="K4" s="6">
        <f>(Tabla2[[#This Row],[2025]]-Tabla2[[#This Row],[2021 D]])/Tabla2[[#This Row],[2021 D]]</f>
        <v>0.372261252765131</v>
      </c>
    </row>
    <row r="5" spans="4:16" x14ac:dyDescent="0.25">
      <c r="D5" s="3" t="s">
        <v>37</v>
      </c>
      <c r="E5" s="4">
        <v>9294.6907773000003</v>
      </c>
      <c r="F5" s="4">
        <v>9560.2522149899996</v>
      </c>
      <c r="G5" s="4">
        <v>6427.2923654699998</v>
      </c>
      <c r="H5" s="4">
        <v>7263.8303398199996</v>
      </c>
      <c r="I5" s="4">
        <v>6660.1030473600003</v>
      </c>
      <c r="J5" s="79">
        <f>Tabla2[[#This Row],[2021]]*$P$3</f>
        <v>11043.153831437987</v>
      </c>
      <c r="K5" s="6">
        <f>(Tabla2[[#This Row],[2025]]-Tabla2[[#This Row],[2021 D]])/Tabla2[[#This Row],[2021 D]]</f>
        <v>-0.39690208530829152</v>
      </c>
    </row>
    <row r="6" spans="4:16" x14ac:dyDescent="0.25">
      <c r="D6" s="3" t="s">
        <v>38</v>
      </c>
      <c r="E6" s="4">
        <v>3488.0960500000001</v>
      </c>
      <c r="F6" s="4">
        <v>4727.3412974599996</v>
      </c>
      <c r="G6" s="4">
        <v>1446.2326711200001</v>
      </c>
      <c r="H6" s="4">
        <v>2763.9049494699998</v>
      </c>
      <c r="I6" s="4">
        <v>3648.9946807199999</v>
      </c>
      <c r="J6" s="79">
        <f>Tabla2[[#This Row],[2021]]*$P$3</f>
        <v>4144.2563482645191</v>
      </c>
      <c r="K6" s="6">
        <f>(Tabla2[[#This Row],[2025]]-Tabla2[[#This Row],[2021 D]])/Tabla2[[#This Row],[2021 D]]</f>
        <v>-0.11950555803622497</v>
      </c>
    </row>
    <row r="7" spans="4:16" x14ac:dyDescent="0.25">
      <c r="D7" s="3" t="s">
        <v>39</v>
      </c>
      <c r="E7" s="4">
        <v>943.36799313999995</v>
      </c>
      <c r="F7" s="4">
        <v>1608.98567243</v>
      </c>
      <c r="G7" s="4">
        <v>1326.7997156700001</v>
      </c>
      <c r="H7" s="4">
        <v>1211.54166618</v>
      </c>
      <c r="I7" s="4">
        <v>1081.0087538</v>
      </c>
      <c r="J7" s="79">
        <f>Tabla2[[#This Row],[2021]]*$P$3</f>
        <v>1120.8288815097292</v>
      </c>
      <c r="K7" s="6">
        <f>(Tabla2[[#This Row],[2025]]-Tabla2[[#This Row],[2021 D]])/Tabla2[[#This Row],[2021 D]]</f>
        <v>-3.5527392599031184E-2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21A51-1AA3-4D17-8252-AA473E6AE761}">
  <dimension ref="A1:P24"/>
  <sheetViews>
    <sheetView workbookViewId="0">
      <selection activeCell="M3" sqref="M3:M7"/>
    </sheetView>
  </sheetViews>
  <sheetFormatPr baseColWidth="10" defaultRowHeight="15" x14ac:dyDescent="0.25"/>
  <cols>
    <col min="12" max="12" width="17.5703125" customWidth="1"/>
  </cols>
  <sheetData>
    <row r="1" spans="1:16" ht="15.75" x14ac:dyDescent="0.25">
      <c r="A1" s="92" t="s">
        <v>79</v>
      </c>
      <c r="B1" s="90"/>
      <c r="C1" s="90"/>
      <c r="D1" s="90"/>
      <c r="E1" s="90"/>
      <c r="F1" s="90"/>
      <c r="G1" s="65"/>
      <c r="H1" s="65"/>
      <c r="I1" s="65"/>
      <c r="J1" s="65"/>
      <c r="K1" s="65"/>
      <c r="L1" s="65"/>
      <c r="M1" s="65"/>
      <c r="N1" s="65"/>
      <c r="O1" s="65"/>
    </row>
    <row r="2" spans="1:16" ht="15.75" x14ac:dyDescent="0.25">
      <c r="A2" s="92" t="s">
        <v>80</v>
      </c>
      <c r="B2" s="90"/>
      <c r="C2" s="90"/>
      <c r="D2" s="90"/>
      <c r="E2" s="90"/>
      <c r="F2" s="90"/>
      <c r="G2" s="65"/>
      <c r="H2" s="65"/>
      <c r="I2" s="65"/>
      <c r="J2" s="65"/>
      <c r="K2" s="71" t="s">
        <v>0</v>
      </c>
      <c r="L2" s="72" t="s">
        <v>112</v>
      </c>
      <c r="M2" s="73" t="s">
        <v>110</v>
      </c>
      <c r="N2" s="65"/>
      <c r="O2" s="65"/>
    </row>
    <row r="3" spans="1:16" x14ac:dyDescent="0.25">
      <c r="A3" s="90"/>
      <c r="B3" s="90"/>
      <c r="C3" s="90"/>
      <c r="D3" s="90"/>
      <c r="E3" s="90"/>
      <c r="F3" s="90"/>
      <c r="G3" s="65"/>
      <c r="H3" s="65"/>
      <c r="I3" s="65"/>
      <c r="J3" s="65"/>
      <c r="K3" s="74">
        <v>2021</v>
      </c>
      <c r="L3" s="75">
        <v>270.96975000000003</v>
      </c>
      <c r="M3" s="78">
        <f t="shared" ref="M3:M7" si="0">$L$7/L3</f>
        <v>1.1881141714158128</v>
      </c>
      <c r="N3" s="65"/>
      <c r="O3" s="65"/>
    </row>
    <row r="4" spans="1:16" x14ac:dyDescent="0.25">
      <c r="A4" s="69" t="s">
        <v>81</v>
      </c>
      <c r="B4" s="89" t="s">
        <v>82</v>
      </c>
      <c r="C4" s="90"/>
      <c r="D4" s="90"/>
      <c r="E4" s="90"/>
      <c r="F4" s="90"/>
      <c r="G4" s="65"/>
      <c r="H4" s="65"/>
      <c r="I4" s="65"/>
      <c r="J4" s="65"/>
      <c r="K4" s="74">
        <v>2022</v>
      </c>
      <c r="L4" s="75">
        <v>292.65491666666668</v>
      </c>
      <c r="M4" s="78">
        <f t="shared" si="0"/>
        <v>1.1000771955821689</v>
      </c>
      <c r="N4" s="65"/>
      <c r="O4" s="65"/>
    </row>
    <row r="5" spans="1:16" x14ac:dyDescent="0.25">
      <c r="A5" s="93" t="s">
        <v>83</v>
      </c>
      <c r="B5" s="90"/>
      <c r="C5" s="90"/>
      <c r="D5" s="90"/>
      <c r="E5" s="90"/>
      <c r="F5" s="90"/>
      <c r="G5" s="65"/>
      <c r="H5" s="65"/>
      <c r="I5" s="65"/>
      <c r="J5" s="65"/>
      <c r="K5" s="74">
        <v>2023</v>
      </c>
      <c r="L5" s="75">
        <v>304.7015833333333</v>
      </c>
      <c r="M5" s="78">
        <f t="shared" si="0"/>
        <v>1.0565845982093409</v>
      </c>
      <c r="N5" s="65"/>
      <c r="O5" s="65"/>
    </row>
    <row r="6" spans="1:16" ht="25.5" x14ac:dyDescent="0.25">
      <c r="A6" s="69" t="s">
        <v>84</v>
      </c>
      <c r="B6" s="89" t="s">
        <v>85</v>
      </c>
      <c r="C6" s="90"/>
      <c r="D6" s="90"/>
      <c r="E6" s="90"/>
      <c r="F6" s="90"/>
      <c r="G6" s="65"/>
      <c r="H6" s="65"/>
      <c r="I6" s="65"/>
      <c r="J6" s="65"/>
      <c r="K6" s="74">
        <v>2024</v>
      </c>
      <c r="L6" s="75">
        <v>313.68883333333332</v>
      </c>
      <c r="M6" s="78">
        <f t="shared" si="0"/>
        <v>1.0263132307865597</v>
      </c>
      <c r="N6" s="65"/>
      <c r="O6" s="65"/>
    </row>
    <row r="7" spans="1:16" x14ac:dyDescent="0.25">
      <c r="A7" s="69" t="s">
        <v>86</v>
      </c>
      <c r="B7" s="89" t="s">
        <v>87</v>
      </c>
      <c r="C7" s="90"/>
      <c r="D7" s="90"/>
      <c r="E7" s="90"/>
      <c r="F7" s="90"/>
      <c r="G7" s="65"/>
      <c r="H7" s="65"/>
      <c r="I7" s="65"/>
      <c r="J7" s="65"/>
      <c r="K7" s="76">
        <v>2025</v>
      </c>
      <c r="L7" s="77">
        <v>321.94299999999998</v>
      </c>
      <c r="M7" s="78">
        <f t="shared" si="0"/>
        <v>1</v>
      </c>
      <c r="N7" s="65"/>
      <c r="O7" s="65"/>
    </row>
    <row r="8" spans="1:16" x14ac:dyDescent="0.25">
      <c r="A8" s="69" t="s">
        <v>88</v>
      </c>
      <c r="B8" s="89" t="s">
        <v>89</v>
      </c>
      <c r="C8" s="90"/>
      <c r="D8" s="90"/>
      <c r="E8" s="90"/>
      <c r="F8" s="90"/>
      <c r="G8" s="65"/>
      <c r="H8" s="65"/>
      <c r="I8" s="65"/>
      <c r="J8" s="65"/>
      <c r="K8" s="65"/>
      <c r="L8" s="65"/>
      <c r="M8" s="65"/>
      <c r="N8" s="65"/>
      <c r="O8" s="65"/>
    </row>
    <row r="9" spans="1:16" ht="25.5" x14ac:dyDescent="0.25">
      <c r="A9" s="69" t="s">
        <v>90</v>
      </c>
      <c r="B9" s="89" t="s">
        <v>91</v>
      </c>
      <c r="C9" s="90"/>
      <c r="D9" s="90"/>
      <c r="E9" s="90"/>
      <c r="F9" s="90"/>
      <c r="G9" s="65"/>
      <c r="H9" s="65"/>
      <c r="I9" s="65"/>
      <c r="J9" s="65"/>
      <c r="K9" s="65"/>
      <c r="L9" s="65"/>
      <c r="M9" s="65"/>
      <c r="N9" s="65"/>
      <c r="O9" s="65"/>
    </row>
    <row r="10" spans="1:16" x14ac:dyDescent="0.25">
      <c r="A10" s="69" t="s">
        <v>92</v>
      </c>
      <c r="B10" s="91" t="s">
        <v>93</v>
      </c>
      <c r="C10" s="90"/>
      <c r="D10" s="90"/>
      <c r="E10" s="90"/>
      <c r="F10" s="90"/>
      <c r="G10" s="65"/>
      <c r="H10" s="65"/>
      <c r="I10" s="65"/>
      <c r="J10" s="65"/>
      <c r="K10" s="65"/>
      <c r="L10" s="65"/>
      <c r="M10" s="65"/>
      <c r="N10" s="65"/>
      <c r="O10" s="65"/>
    </row>
    <row r="12" spans="1:16" ht="15.75" thickBot="1" x14ac:dyDescent="0.3">
      <c r="A12" s="66" t="s">
        <v>94</v>
      </c>
      <c r="B12" s="66" t="s">
        <v>95</v>
      </c>
      <c r="C12" s="66" t="s">
        <v>96</v>
      </c>
      <c r="D12" s="66" t="s">
        <v>97</v>
      </c>
      <c r="E12" s="66" t="s">
        <v>98</v>
      </c>
      <c r="F12" s="66" t="s">
        <v>99</v>
      </c>
      <c r="G12" s="66" t="s">
        <v>100</v>
      </c>
      <c r="H12" s="66" t="s">
        <v>101</v>
      </c>
      <c r="I12" s="66" t="s">
        <v>102</v>
      </c>
      <c r="J12" s="66" t="s">
        <v>103</v>
      </c>
      <c r="K12" s="66" t="s">
        <v>104</v>
      </c>
      <c r="L12" s="66" t="s">
        <v>105</v>
      </c>
      <c r="M12" s="66" t="s">
        <v>106</v>
      </c>
      <c r="N12" s="66" t="s">
        <v>107</v>
      </c>
      <c r="O12" s="66" t="s">
        <v>108</v>
      </c>
    </row>
    <row r="13" spans="1:16" ht="15.75" thickTop="1" x14ac:dyDescent="0.25">
      <c r="A13" s="67">
        <v>2016</v>
      </c>
      <c r="B13" s="68">
        <v>236.916</v>
      </c>
      <c r="C13" s="68">
        <v>237.11099999999999</v>
      </c>
      <c r="D13" s="68">
        <v>238.13200000000001</v>
      </c>
      <c r="E13" s="68">
        <v>239.261</v>
      </c>
      <c r="F13" s="68">
        <v>240.22900000000001</v>
      </c>
      <c r="G13" s="68">
        <v>241.018</v>
      </c>
      <c r="H13" s="68">
        <v>240.62799999999999</v>
      </c>
      <c r="I13" s="68">
        <v>240.84899999999999</v>
      </c>
      <c r="J13" s="68">
        <v>241.428</v>
      </c>
      <c r="K13" s="68">
        <v>241.72900000000001</v>
      </c>
      <c r="L13" s="68">
        <v>241.35300000000001</v>
      </c>
      <c r="M13" s="68">
        <v>241.43199999999999</v>
      </c>
      <c r="N13" s="68">
        <v>238.77799999999999</v>
      </c>
      <c r="O13" s="68">
        <v>241.23699999999999</v>
      </c>
      <c r="P13" s="70">
        <f>AVERAGE(B13:M13)</f>
        <v>240.00716666666662</v>
      </c>
    </row>
    <row r="14" spans="1:16" x14ac:dyDescent="0.25">
      <c r="A14" s="67">
        <v>2017</v>
      </c>
      <c r="B14" s="68">
        <v>242.839</v>
      </c>
      <c r="C14" s="68">
        <v>243.60300000000001</v>
      </c>
      <c r="D14" s="68">
        <v>243.80099999999999</v>
      </c>
      <c r="E14" s="68">
        <v>244.524</v>
      </c>
      <c r="F14" s="68">
        <v>244.733</v>
      </c>
      <c r="G14" s="68">
        <v>244.95500000000001</v>
      </c>
      <c r="H14" s="68">
        <v>244.786</v>
      </c>
      <c r="I14" s="68">
        <v>245.51900000000001</v>
      </c>
      <c r="J14" s="68">
        <v>246.81899999999999</v>
      </c>
      <c r="K14" s="68">
        <v>246.66300000000001</v>
      </c>
      <c r="L14" s="68">
        <v>246.66900000000001</v>
      </c>
      <c r="M14" s="68">
        <v>246.524</v>
      </c>
      <c r="N14" s="68">
        <v>244.07599999999999</v>
      </c>
      <c r="O14" s="68">
        <v>246.16300000000001</v>
      </c>
      <c r="P14" s="70">
        <f t="shared" ref="P14:P21" si="1">AVERAGE(B14:M14)</f>
        <v>245.11958333333334</v>
      </c>
    </row>
    <row r="15" spans="1:16" x14ac:dyDescent="0.25">
      <c r="A15" s="67">
        <v>2018</v>
      </c>
      <c r="B15" s="68">
        <v>247.86699999999999</v>
      </c>
      <c r="C15" s="68">
        <v>248.99100000000001</v>
      </c>
      <c r="D15" s="68">
        <v>249.554</v>
      </c>
      <c r="E15" s="68">
        <v>250.54599999999999</v>
      </c>
      <c r="F15" s="68">
        <v>251.58799999999999</v>
      </c>
      <c r="G15" s="68">
        <v>251.989</v>
      </c>
      <c r="H15" s="68">
        <v>252.006</v>
      </c>
      <c r="I15" s="68">
        <v>252.14599999999999</v>
      </c>
      <c r="J15" s="68">
        <v>252.43899999999999</v>
      </c>
      <c r="K15" s="68">
        <v>252.88499999999999</v>
      </c>
      <c r="L15" s="68">
        <v>252.03800000000001</v>
      </c>
      <c r="M15" s="68">
        <v>251.233</v>
      </c>
      <c r="N15" s="68">
        <v>250.089</v>
      </c>
      <c r="O15" s="68">
        <v>252.125</v>
      </c>
      <c r="P15" s="70">
        <f t="shared" si="1"/>
        <v>251.10683333333338</v>
      </c>
    </row>
    <row r="16" spans="1:16" x14ac:dyDescent="0.25">
      <c r="A16" s="67">
        <v>2019</v>
      </c>
      <c r="B16" s="68">
        <v>251.71199999999999</v>
      </c>
      <c r="C16" s="68">
        <v>252.77600000000001</v>
      </c>
      <c r="D16" s="68">
        <v>254.202</v>
      </c>
      <c r="E16" s="68">
        <v>255.548</v>
      </c>
      <c r="F16" s="68">
        <v>256.09199999999998</v>
      </c>
      <c r="G16" s="68">
        <v>256.14299999999997</v>
      </c>
      <c r="H16" s="68">
        <v>256.57100000000003</v>
      </c>
      <c r="I16" s="68">
        <v>256.55799999999999</v>
      </c>
      <c r="J16" s="68">
        <v>256.75900000000001</v>
      </c>
      <c r="K16" s="68">
        <v>257.346</v>
      </c>
      <c r="L16" s="68">
        <v>257.20800000000003</v>
      </c>
      <c r="M16" s="68">
        <v>256.97399999999999</v>
      </c>
      <c r="N16" s="68">
        <v>254.41200000000001</v>
      </c>
      <c r="O16" s="68">
        <v>256.90300000000002</v>
      </c>
      <c r="P16" s="70">
        <f t="shared" si="1"/>
        <v>255.65741666666668</v>
      </c>
    </row>
    <row r="17" spans="1:16" x14ac:dyDescent="0.25">
      <c r="A17" s="67">
        <v>2020</v>
      </c>
      <c r="B17" s="68">
        <v>257.971</v>
      </c>
      <c r="C17" s="68">
        <v>258.678</v>
      </c>
      <c r="D17" s="68">
        <v>258.11500000000001</v>
      </c>
      <c r="E17" s="68">
        <v>256.38900000000001</v>
      </c>
      <c r="F17" s="68">
        <v>256.39400000000001</v>
      </c>
      <c r="G17" s="68">
        <v>257.79700000000003</v>
      </c>
      <c r="H17" s="68">
        <v>259.101</v>
      </c>
      <c r="I17" s="68">
        <v>259.91800000000001</v>
      </c>
      <c r="J17" s="68">
        <v>260.27999999999997</v>
      </c>
      <c r="K17" s="68">
        <v>260.38799999999998</v>
      </c>
      <c r="L17" s="68">
        <v>260.22899999999998</v>
      </c>
      <c r="M17" s="68">
        <v>260.47399999999999</v>
      </c>
      <c r="N17" s="68">
        <v>257.55700000000002</v>
      </c>
      <c r="O17" s="68">
        <v>260.065</v>
      </c>
      <c r="P17" s="70">
        <f t="shared" si="1"/>
        <v>258.81116666666668</v>
      </c>
    </row>
    <row r="18" spans="1:16" x14ac:dyDescent="0.25">
      <c r="A18" s="67">
        <v>2021</v>
      </c>
      <c r="B18" s="68">
        <v>261.58199999999999</v>
      </c>
      <c r="C18" s="68">
        <v>263.01400000000001</v>
      </c>
      <c r="D18" s="68">
        <v>264.87700000000001</v>
      </c>
      <c r="E18" s="68">
        <v>267.05399999999997</v>
      </c>
      <c r="F18" s="68">
        <v>269.19499999999999</v>
      </c>
      <c r="G18" s="68">
        <v>271.69600000000003</v>
      </c>
      <c r="H18" s="68">
        <v>273.00299999999999</v>
      </c>
      <c r="I18" s="68">
        <v>273.56700000000001</v>
      </c>
      <c r="J18" s="68">
        <v>274.31</v>
      </c>
      <c r="K18" s="68">
        <v>276.589</v>
      </c>
      <c r="L18" s="68">
        <v>277.94799999999998</v>
      </c>
      <c r="M18" s="68">
        <v>278.80200000000002</v>
      </c>
      <c r="N18" s="68">
        <v>266.23599999999999</v>
      </c>
      <c r="O18" s="68">
        <v>275.70299999999997</v>
      </c>
      <c r="P18" s="70">
        <f t="shared" si="1"/>
        <v>270.96975000000003</v>
      </c>
    </row>
    <row r="19" spans="1:16" x14ac:dyDescent="0.25">
      <c r="A19" s="67">
        <v>2022</v>
      </c>
      <c r="B19" s="68">
        <v>281.14800000000002</v>
      </c>
      <c r="C19" s="68">
        <v>283.71600000000001</v>
      </c>
      <c r="D19" s="68">
        <v>287.50400000000002</v>
      </c>
      <c r="E19" s="68">
        <v>289.10899999999998</v>
      </c>
      <c r="F19" s="68">
        <v>292.29599999999999</v>
      </c>
      <c r="G19" s="68">
        <v>296.31099999999998</v>
      </c>
      <c r="H19" s="68">
        <v>296.27600000000001</v>
      </c>
      <c r="I19" s="68">
        <v>296.17099999999999</v>
      </c>
      <c r="J19" s="68">
        <v>296.80799999999999</v>
      </c>
      <c r="K19" s="68">
        <v>298.012</v>
      </c>
      <c r="L19" s="68">
        <v>297.71100000000001</v>
      </c>
      <c r="M19" s="68">
        <v>296.79700000000003</v>
      </c>
      <c r="N19" s="68">
        <v>288.34699999999998</v>
      </c>
      <c r="O19" s="68">
        <v>296.96300000000002</v>
      </c>
      <c r="P19" s="70">
        <f t="shared" si="1"/>
        <v>292.65491666666668</v>
      </c>
    </row>
    <row r="20" spans="1:16" x14ac:dyDescent="0.25">
      <c r="A20" s="67">
        <v>2023</v>
      </c>
      <c r="B20" s="68">
        <v>299.17</v>
      </c>
      <c r="C20" s="68">
        <v>300.83999999999997</v>
      </c>
      <c r="D20" s="68">
        <v>301.83600000000001</v>
      </c>
      <c r="E20" s="68">
        <v>303.363</v>
      </c>
      <c r="F20" s="68">
        <v>304.12700000000001</v>
      </c>
      <c r="G20" s="68">
        <v>305.10899999999998</v>
      </c>
      <c r="H20" s="68">
        <v>305.69099999999997</v>
      </c>
      <c r="I20" s="68">
        <v>307.02600000000001</v>
      </c>
      <c r="J20" s="68">
        <v>307.78899999999999</v>
      </c>
      <c r="K20" s="68">
        <v>307.67099999999999</v>
      </c>
      <c r="L20" s="68">
        <v>307.05099999999999</v>
      </c>
      <c r="M20" s="68">
        <v>306.74599999999998</v>
      </c>
      <c r="N20" s="68">
        <v>302.40800000000002</v>
      </c>
      <c r="O20" s="68">
        <v>306.99599999999998</v>
      </c>
      <c r="P20" s="70">
        <f t="shared" si="1"/>
        <v>304.7015833333333</v>
      </c>
    </row>
    <row r="21" spans="1:16" x14ac:dyDescent="0.25">
      <c r="A21" s="67">
        <v>2024</v>
      </c>
      <c r="B21" s="68">
        <v>308.41699999999997</v>
      </c>
      <c r="C21" s="68">
        <v>310.32600000000002</v>
      </c>
      <c r="D21" s="68">
        <v>312.33199999999999</v>
      </c>
      <c r="E21" s="68">
        <v>313.548</v>
      </c>
      <c r="F21" s="68">
        <v>314.06900000000002</v>
      </c>
      <c r="G21" s="68">
        <v>314.17500000000001</v>
      </c>
      <c r="H21" s="68">
        <v>314.54000000000002</v>
      </c>
      <c r="I21" s="68">
        <v>314.79599999999999</v>
      </c>
      <c r="J21" s="68">
        <v>315.30099999999999</v>
      </c>
      <c r="K21" s="68">
        <v>315.66399999999999</v>
      </c>
      <c r="L21" s="68">
        <v>315.49299999999999</v>
      </c>
      <c r="M21" s="68">
        <v>315.60500000000002</v>
      </c>
      <c r="N21" s="68">
        <v>312.14499999999998</v>
      </c>
      <c r="O21" s="68">
        <v>315.233</v>
      </c>
      <c r="P21" s="70">
        <f t="shared" si="1"/>
        <v>313.68883333333332</v>
      </c>
    </row>
    <row r="22" spans="1:16" x14ac:dyDescent="0.25">
      <c r="A22" s="67">
        <v>2025</v>
      </c>
      <c r="B22" s="68">
        <v>317.67099999999999</v>
      </c>
      <c r="C22" s="68">
        <v>319.08199999999999</v>
      </c>
      <c r="D22" s="68">
        <v>319.79899999999998</v>
      </c>
      <c r="E22" s="68">
        <v>320.79500000000002</v>
      </c>
      <c r="F22" s="68">
        <v>321.46499999999997</v>
      </c>
      <c r="G22" s="68">
        <v>322.56099999999998</v>
      </c>
      <c r="H22" s="68">
        <v>323.048</v>
      </c>
      <c r="I22" s="68">
        <v>323.976</v>
      </c>
      <c r="J22" s="68">
        <v>324.8</v>
      </c>
      <c r="K22" s="65" t="s">
        <v>109</v>
      </c>
      <c r="L22" s="68">
        <v>324.12200000000001</v>
      </c>
      <c r="M22" s="68">
        <v>324.05399999999997</v>
      </c>
      <c r="N22" s="68">
        <v>320.22899999999998</v>
      </c>
      <c r="O22" s="68">
        <v>324</v>
      </c>
      <c r="P22" s="70">
        <f>AVERAGE(B22:M22)</f>
        <v>321.94299999999998</v>
      </c>
    </row>
    <row r="23" spans="1:16" x14ac:dyDescent="0.25">
      <c r="A23" s="67">
        <v>2026</v>
      </c>
      <c r="B23" s="68">
        <v>325.25200000000001</v>
      </c>
      <c r="C23" s="68">
        <v>326.78500000000003</v>
      </c>
      <c r="D23" s="68">
        <v>330.21300000000002</v>
      </c>
      <c r="E23" s="68">
        <v>333.02</v>
      </c>
      <c r="F23" s="68">
        <v>335.12299999999999</v>
      </c>
      <c r="G23" s="68">
        <v>333.952</v>
      </c>
      <c r="H23" s="65"/>
      <c r="I23" s="65"/>
      <c r="J23" s="65"/>
      <c r="K23" s="65"/>
      <c r="L23" s="65"/>
      <c r="M23" s="65"/>
      <c r="N23" s="68">
        <v>330.72399999999999</v>
      </c>
      <c r="O23" s="65"/>
    </row>
    <row r="24" spans="1:16" x14ac:dyDescent="0.25">
      <c r="A24" t="s">
        <v>78</v>
      </c>
    </row>
  </sheetData>
  <mergeCells count="10"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E3ACD-F061-4441-802D-44882F9F12CC}">
  <dimension ref="A1:P21"/>
  <sheetViews>
    <sheetView zoomScaleNormal="100" workbookViewId="0">
      <selection activeCell="F17" sqref="F17"/>
    </sheetView>
  </sheetViews>
  <sheetFormatPr baseColWidth="10" defaultColWidth="8.7109375" defaultRowHeight="15" x14ac:dyDescent="0.25"/>
  <cols>
    <col min="1" max="1" width="38" style="51" customWidth="1"/>
    <col min="2" max="6" width="12" style="51" customWidth="1"/>
    <col min="7" max="16384" width="8.7109375" style="51"/>
  </cols>
  <sheetData>
    <row r="1" spans="1:16" ht="16.5" x14ac:dyDescent="0.25">
      <c r="A1" s="53" t="s">
        <v>72</v>
      </c>
    </row>
    <row r="2" spans="1:16" x14ac:dyDescent="0.25">
      <c r="A2" s="52" t="s">
        <v>71</v>
      </c>
    </row>
    <row r="4" spans="1:16" x14ac:dyDescent="0.25">
      <c r="A4" s="60" t="s">
        <v>70</v>
      </c>
      <c r="B4" s="61" t="s">
        <v>12</v>
      </c>
      <c r="C4" s="61" t="s">
        <v>13</v>
      </c>
      <c r="D4" s="61" t="s">
        <v>14</v>
      </c>
      <c r="E4" s="61" t="s">
        <v>15</v>
      </c>
      <c r="F4" s="62" t="s">
        <v>16</v>
      </c>
      <c r="N4" s="51" t="s">
        <v>0</v>
      </c>
      <c r="O4" s="51" t="s">
        <v>112</v>
      </c>
      <c r="P4" s="51" t="s">
        <v>110</v>
      </c>
    </row>
    <row r="5" spans="1:16" x14ac:dyDescent="0.25">
      <c r="A5" s="54" t="s">
        <v>69</v>
      </c>
      <c r="B5" s="55">
        <v>21809</v>
      </c>
      <c r="C5" s="55">
        <v>23868</v>
      </c>
      <c r="D5" s="55">
        <v>14412</v>
      </c>
      <c r="E5" s="55">
        <v>18307</v>
      </c>
      <c r="F5" s="56">
        <v>22144</v>
      </c>
      <c r="N5" s="51">
        <v>2021</v>
      </c>
      <c r="O5" s="51">
        <v>270.96975000000003</v>
      </c>
      <c r="P5" s="51">
        <v>1.1881141714158128</v>
      </c>
    </row>
    <row r="6" spans="1:16" x14ac:dyDescent="0.25">
      <c r="A6" s="54" t="s">
        <v>68</v>
      </c>
      <c r="B6" s="55">
        <v>30929</v>
      </c>
      <c r="C6" s="55">
        <v>33119</v>
      </c>
      <c r="D6" s="55">
        <v>23822</v>
      </c>
      <c r="E6" s="55">
        <v>29675</v>
      </c>
      <c r="F6" s="56">
        <v>30467</v>
      </c>
      <c r="N6" s="51">
        <v>2022</v>
      </c>
      <c r="O6" s="51">
        <v>292.65491666666668</v>
      </c>
      <c r="P6" s="51">
        <v>1.1000771955821689</v>
      </c>
    </row>
    <row r="7" spans="1:16" x14ac:dyDescent="0.25">
      <c r="A7" s="54" t="s">
        <v>67</v>
      </c>
      <c r="B7" s="55">
        <v>19913</v>
      </c>
      <c r="C7" s="55">
        <v>23061</v>
      </c>
      <c r="D7" s="55">
        <v>20643</v>
      </c>
      <c r="E7" s="55">
        <v>22062</v>
      </c>
      <c r="F7" s="56">
        <v>23380</v>
      </c>
      <c r="N7" s="51">
        <v>2023</v>
      </c>
      <c r="O7" s="51">
        <v>304.7015833333333</v>
      </c>
      <c r="P7" s="51">
        <v>1.0565845982093409</v>
      </c>
    </row>
    <row r="8" spans="1:16" x14ac:dyDescent="0.25">
      <c r="A8" s="54" t="s">
        <v>66</v>
      </c>
      <c r="B8" s="55">
        <v>5284</v>
      </c>
      <c r="C8" s="55">
        <v>8398</v>
      </c>
      <c r="D8" s="55">
        <v>7911</v>
      </c>
      <c r="E8" s="55">
        <v>9677</v>
      </c>
      <c r="F8" s="56">
        <v>11086</v>
      </c>
      <c r="H8" s="63"/>
      <c r="N8" s="51">
        <v>2024</v>
      </c>
      <c r="O8" s="51">
        <v>313.68883333333332</v>
      </c>
      <c r="P8" s="51">
        <v>1.0263132307865597</v>
      </c>
    </row>
    <row r="9" spans="1:16" x14ac:dyDescent="0.25">
      <c r="A9" s="57" t="s">
        <v>65</v>
      </c>
      <c r="B9" s="58">
        <f>SUM(B5:B8)</f>
        <v>77935</v>
      </c>
      <c r="C9" s="58">
        <f>SUM(C5:C8)</f>
        <v>88446</v>
      </c>
      <c r="D9" s="58">
        <f>SUM(D5:D8)</f>
        <v>66788</v>
      </c>
      <c r="E9" s="58">
        <f>SUM(E5:E8)</f>
        <v>79721</v>
      </c>
      <c r="F9" s="59">
        <f>SUM(F5:F8)</f>
        <v>87077</v>
      </c>
      <c r="N9" s="51">
        <v>2025</v>
      </c>
      <c r="O9" s="51">
        <v>321.94299999999998</v>
      </c>
      <c r="P9" s="51">
        <v>1</v>
      </c>
    </row>
    <row r="10" spans="1:16" x14ac:dyDescent="0.25">
      <c r="A10" s="80"/>
      <c r="B10" s="81"/>
      <c r="C10" s="81"/>
      <c r="D10" s="81"/>
      <c r="E10" s="81"/>
      <c r="F10" s="81"/>
    </row>
    <row r="11" spans="1:16" x14ac:dyDescent="0.25">
      <c r="A11" s="80"/>
      <c r="B11" s="81"/>
      <c r="C11" s="81"/>
      <c r="D11" s="81"/>
      <c r="E11" s="81"/>
      <c r="F11" s="81"/>
    </row>
    <row r="12" spans="1:16" x14ac:dyDescent="0.25">
      <c r="A12" s="60" t="s">
        <v>70</v>
      </c>
      <c r="B12" s="61" t="s">
        <v>74</v>
      </c>
      <c r="C12" s="61" t="s">
        <v>75</v>
      </c>
      <c r="D12" s="61" t="s">
        <v>76</v>
      </c>
      <c r="E12" s="61" t="s">
        <v>77</v>
      </c>
      <c r="F12" s="62" t="s">
        <v>113</v>
      </c>
      <c r="G12" s="61" t="s">
        <v>114</v>
      </c>
    </row>
    <row r="13" spans="1:16" x14ac:dyDescent="0.25">
      <c r="A13" s="54" t="s">
        <v>69</v>
      </c>
      <c r="B13" s="55">
        <f>B5*$P$5</f>
        <v>25911.581964407462</v>
      </c>
      <c r="C13" s="55">
        <f>C5*$P$6</f>
        <v>26256.642504155207</v>
      </c>
      <c r="D13" s="55">
        <f>D5*$P$7</f>
        <v>15227.49722939302</v>
      </c>
      <c r="E13" s="55">
        <f>E5*$P$8</f>
        <v>18788.716316009548</v>
      </c>
      <c r="F13" s="56">
        <f>F5*$P$9</f>
        <v>22144</v>
      </c>
      <c r="G13" s="82">
        <f t="shared" ref="G13:G16" si="0">(D13-C13)/C13</f>
        <v>-0.42005162209969477</v>
      </c>
      <c r="I13" s="83"/>
    </row>
    <row r="14" spans="1:16" x14ac:dyDescent="0.25">
      <c r="A14" s="54" t="s">
        <v>68</v>
      </c>
      <c r="B14" s="55">
        <f t="shared" ref="B14:B17" si="1">B6*$P$5</f>
        <v>36747.183207719674</v>
      </c>
      <c r="C14" s="55">
        <f t="shared" ref="C14:C17" si="2">C6*$P$6</f>
        <v>36433.456640485849</v>
      </c>
      <c r="D14" s="55">
        <f t="shared" ref="D14:D17" si="3">D6*$P$7</f>
        <v>25169.958298542919</v>
      </c>
      <c r="E14" s="55">
        <f t="shared" ref="E14:E17" si="4">E6*$P$8</f>
        <v>30455.84512359116</v>
      </c>
      <c r="F14" s="56">
        <f t="shared" ref="F14:F17" si="5">F6*$P$9</f>
        <v>30467</v>
      </c>
      <c r="G14" s="55">
        <f t="shared" si="0"/>
        <v>-0.30915261357404733</v>
      </c>
    </row>
    <row r="15" spans="1:16" x14ac:dyDescent="0.25">
      <c r="A15" s="54" t="s">
        <v>67</v>
      </c>
      <c r="B15" s="55">
        <f t="shared" si="1"/>
        <v>23658.917495403079</v>
      </c>
      <c r="C15" s="55">
        <f t="shared" si="2"/>
        <v>25368.880207320395</v>
      </c>
      <c r="D15" s="55">
        <f t="shared" si="3"/>
        <v>21811.075860835426</v>
      </c>
      <c r="E15" s="55">
        <f t="shared" si="4"/>
        <v>22642.522497613081</v>
      </c>
      <c r="F15" s="56">
        <f t="shared" si="5"/>
        <v>23380</v>
      </c>
      <c r="G15" s="55">
        <f t="shared" si="0"/>
        <v>-0.14024286123036428</v>
      </c>
      <c r="I15" s="84"/>
    </row>
    <row r="16" spans="1:16" x14ac:dyDescent="0.25">
      <c r="A16" s="54" t="s">
        <v>66</v>
      </c>
      <c r="B16" s="55">
        <f t="shared" si="1"/>
        <v>6277.9952817611547</v>
      </c>
      <c r="C16" s="55">
        <f t="shared" si="2"/>
        <v>9238.4482884990539</v>
      </c>
      <c r="D16" s="55">
        <f t="shared" si="3"/>
        <v>8358.6407564340952</v>
      </c>
      <c r="E16" s="55">
        <f t="shared" si="4"/>
        <v>9931.6331343215388</v>
      </c>
      <c r="F16" s="56">
        <f t="shared" si="5"/>
        <v>11086</v>
      </c>
      <c r="G16" s="55">
        <f t="shared" si="0"/>
        <v>-9.5233258290813971E-2</v>
      </c>
    </row>
    <row r="17" spans="1:7" x14ac:dyDescent="0.25">
      <c r="A17" s="57" t="s">
        <v>65</v>
      </c>
      <c r="B17" s="55">
        <f t="shared" si="1"/>
        <v>92595.677949291363</v>
      </c>
      <c r="C17" s="55">
        <f t="shared" si="2"/>
        <v>97297.427640460504</v>
      </c>
      <c r="D17" s="55">
        <f t="shared" si="3"/>
        <v>70567.172145205463</v>
      </c>
      <c r="E17" s="55">
        <f t="shared" si="4"/>
        <v>81818.717071535328</v>
      </c>
      <c r="F17" s="56">
        <f t="shared" si="5"/>
        <v>87077</v>
      </c>
      <c r="G17" s="48">
        <f>(D17-C17)/C17</f>
        <v>-0.27472725788836205</v>
      </c>
    </row>
    <row r="19" spans="1:7" x14ac:dyDescent="0.25">
      <c r="A19" s="85" t="s">
        <v>64</v>
      </c>
      <c r="B19" s="85"/>
      <c r="C19" s="85"/>
      <c r="D19" s="85"/>
      <c r="E19" s="85"/>
      <c r="F19" s="85"/>
    </row>
    <row r="20" spans="1:7" ht="15" customHeight="1" x14ac:dyDescent="0.25">
      <c r="A20" s="86" t="s">
        <v>63</v>
      </c>
      <c r="B20" s="86"/>
      <c r="C20" s="86"/>
      <c r="D20" s="86"/>
      <c r="E20" s="86"/>
      <c r="F20" s="86"/>
    </row>
    <row r="21" spans="1:7" x14ac:dyDescent="0.25">
      <c r="A21" s="86"/>
      <c r="B21" s="86"/>
      <c r="C21" s="86"/>
      <c r="D21" s="86"/>
      <c r="E21" s="86"/>
      <c r="F21" s="86"/>
    </row>
  </sheetData>
  <mergeCells count="2">
    <mergeCell ref="A19:F19"/>
    <mergeCell ref="A20:F21"/>
  </mergeCells>
  <phoneticPr fontId="1" type="noConversion"/>
  <pageMargins left="0.75" right="0.75" top="1" bottom="1" header="0.511811023622047" footer="0.511811023622047"/>
  <pageSetup paperSize="9" orientation="portrait" horizontalDpi="300" verticalDpi="300"/>
  <drawing r:id="rId1"/>
  <legacyDrawing r:id="rId2"/>
  <tableParts count="2"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1D2BA-A271-4263-8268-21505379A3C5}">
  <dimension ref="A1:S51"/>
  <sheetViews>
    <sheetView workbookViewId="0">
      <selection activeCell="K28" sqref="K28"/>
    </sheetView>
  </sheetViews>
  <sheetFormatPr baseColWidth="10" defaultRowHeight="15" x14ac:dyDescent="0.25"/>
  <cols>
    <col min="6" max="6" width="11.7109375" customWidth="1"/>
    <col min="7" max="7" width="14.28515625" customWidth="1"/>
    <col min="9" max="9" width="12.7109375" bestFit="1" customWidth="1"/>
    <col min="11" max="11" width="12" customWidth="1"/>
  </cols>
  <sheetData>
    <row r="1" spans="1:19" x14ac:dyDescent="0.25">
      <c r="A1" t="s">
        <v>58</v>
      </c>
      <c r="B1" t="s">
        <v>54</v>
      </c>
      <c r="C1" t="s">
        <v>57</v>
      </c>
    </row>
    <row r="2" spans="1:19" x14ac:dyDescent="0.25">
      <c r="A2" t="s">
        <v>53</v>
      </c>
      <c r="B2" t="s">
        <v>51</v>
      </c>
      <c r="C2">
        <v>3741158</v>
      </c>
      <c r="F2" s="18" t="s">
        <v>54</v>
      </c>
      <c r="G2" s="37" t="s">
        <v>53</v>
      </c>
      <c r="H2" s="37" t="s">
        <v>36</v>
      </c>
      <c r="I2" s="37" t="s">
        <v>37</v>
      </c>
      <c r="J2" s="37" t="s">
        <v>52</v>
      </c>
      <c r="K2" s="38" t="s">
        <v>43</v>
      </c>
    </row>
    <row r="3" spans="1:19" x14ac:dyDescent="0.25">
      <c r="A3" t="s">
        <v>53</v>
      </c>
      <c r="B3" t="s">
        <v>50</v>
      </c>
      <c r="C3">
        <v>4636957</v>
      </c>
      <c r="F3" s="39" t="s">
        <v>51</v>
      </c>
      <c r="G3" s="26">
        <v>3741158</v>
      </c>
      <c r="H3" s="26">
        <v>3537545</v>
      </c>
      <c r="I3" s="26">
        <v>43462323</v>
      </c>
      <c r="J3" s="26">
        <v>37785927</v>
      </c>
      <c r="K3" s="40">
        <v>18518045</v>
      </c>
    </row>
    <row r="4" spans="1:19" x14ac:dyDescent="0.25">
      <c r="F4" s="41">
        <v>107044998</v>
      </c>
      <c r="G4" s="42">
        <v>0.03</v>
      </c>
      <c r="H4" s="42">
        <v>0.03</v>
      </c>
      <c r="I4" s="42">
        <v>0.41</v>
      </c>
      <c r="J4" s="42">
        <v>0.35</v>
      </c>
      <c r="K4" s="43">
        <v>0.17</v>
      </c>
    </row>
    <row r="5" spans="1:19" x14ac:dyDescent="0.25">
      <c r="A5" t="s">
        <v>53</v>
      </c>
      <c r="B5" t="s">
        <v>49</v>
      </c>
      <c r="C5">
        <v>3612804</v>
      </c>
      <c r="F5" s="39" t="s">
        <v>50</v>
      </c>
      <c r="G5" s="26">
        <v>4636957</v>
      </c>
      <c r="H5" s="26">
        <v>3530157</v>
      </c>
      <c r="I5" s="26">
        <v>56860704</v>
      </c>
      <c r="J5" s="26">
        <v>55263891</v>
      </c>
      <c r="K5" s="40">
        <v>19459727</v>
      </c>
    </row>
    <row r="6" spans="1:19" x14ac:dyDescent="0.25">
      <c r="F6" s="41">
        <v>139751436</v>
      </c>
      <c r="G6" s="42">
        <v>0.03</v>
      </c>
      <c r="H6" s="42">
        <v>0.03</v>
      </c>
      <c r="I6" s="42">
        <v>0.53</v>
      </c>
      <c r="J6" s="42">
        <v>0.52</v>
      </c>
      <c r="K6" s="43">
        <v>0.18</v>
      </c>
    </row>
    <row r="7" spans="1:19" x14ac:dyDescent="0.25">
      <c r="A7" t="s">
        <v>53</v>
      </c>
      <c r="B7" t="s">
        <v>48</v>
      </c>
      <c r="C7">
        <v>4036130</v>
      </c>
      <c r="F7" s="39" t="s">
        <v>49</v>
      </c>
      <c r="G7" s="26">
        <v>3612804</v>
      </c>
      <c r="H7" s="26">
        <v>2857413</v>
      </c>
      <c r="I7" s="26">
        <v>58395811</v>
      </c>
      <c r="J7" s="26">
        <v>48780407</v>
      </c>
      <c r="K7" s="40">
        <v>19776942</v>
      </c>
    </row>
    <row r="8" spans="1:19" x14ac:dyDescent="0.25">
      <c r="F8" s="41">
        <v>133423377</v>
      </c>
      <c r="G8" s="42">
        <v>0.03</v>
      </c>
      <c r="H8" s="42">
        <v>0.03</v>
      </c>
      <c r="I8" s="42">
        <v>0.55000000000000004</v>
      </c>
      <c r="J8" s="42">
        <v>0.46</v>
      </c>
      <c r="K8" s="43">
        <v>0.18</v>
      </c>
    </row>
    <row r="9" spans="1:19" x14ac:dyDescent="0.25">
      <c r="A9" t="s">
        <v>53</v>
      </c>
      <c r="B9" t="s">
        <v>47</v>
      </c>
      <c r="C9">
        <v>5279608</v>
      </c>
      <c r="F9" s="39" t="s">
        <v>48</v>
      </c>
      <c r="G9" s="26">
        <v>4036130</v>
      </c>
      <c r="H9" s="26">
        <v>3247366</v>
      </c>
      <c r="I9" s="26">
        <v>60525805</v>
      </c>
      <c r="J9" s="26">
        <v>46217911</v>
      </c>
      <c r="K9" s="40">
        <v>17644277</v>
      </c>
    </row>
    <row r="10" spans="1:19" x14ac:dyDescent="0.25">
      <c r="F10" s="41">
        <v>131671489</v>
      </c>
      <c r="G10" s="42">
        <v>0.03</v>
      </c>
      <c r="H10" s="42">
        <v>0.03</v>
      </c>
      <c r="I10" s="42">
        <v>0.56999999999999995</v>
      </c>
      <c r="J10" s="42">
        <v>0.43</v>
      </c>
      <c r="K10" s="43">
        <v>0.16</v>
      </c>
    </row>
    <row r="11" spans="1:19" x14ac:dyDescent="0.25">
      <c r="A11" t="s">
        <v>53</v>
      </c>
      <c r="B11" t="s">
        <v>46</v>
      </c>
      <c r="C11">
        <v>4695914</v>
      </c>
      <c r="F11" s="39" t="s">
        <v>47</v>
      </c>
      <c r="G11" s="26">
        <v>5279608</v>
      </c>
      <c r="H11" s="26">
        <v>4050362</v>
      </c>
      <c r="I11" s="26">
        <v>59037179</v>
      </c>
      <c r="J11" s="26">
        <v>43861066</v>
      </c>
      <c r="K11" s="40">
        <v>22150287</v>
      </c>
      <c r="N11" s="7"/>
    </row>
    <row r="12" spans="1:19" x14ac:dyDescent="0.25">
      <c r="F12" s="41">
        <v>134378502</v>
      </c>
      <c r="G12" s="42">
        <v>0.04</v>
      </c>
      <c r="H12" s="42">
        <v>0.03</v>
      </c>
      <c r="I12" s="42">
        <v>0.44</v>
      </c>
      <c r="J12" s="42">
        <v>0.33</v>
      </c>
      <c r="K12" s="43">
        <v>0.16</v>
      </c>
      <c r="N12" s="94" t="s">
        <v>56</v>
      </c>
      <c r="O12" s="94"/>
      <c r="P12" s="94"/>
      <c r="Q12" s="94"/>
      <c r="R12" s="94"/>
      <c r="S12" s="94"/>
    </row>
    <row r="13" spans="1:19" x14ac:dyDescent="0.25">
      <c r="A13" t="s">
        <v>53</v>
      </c>
      <c r="B13" t="s">
        <v>45</v>
      </c>
      <c r="C13">
        <v>5097340</v>
      </c>
      <c r="F13" s="39" t="s">
        <v>46</v>
      </c>
      <c r="G13" s="26">
        <v>4695914</v>
      </c>
      <c r="H13" s="26">
        <v>5018874</v>
      </c>
      <c r="I13" s="26">
        <v>41409448</v>
      </c>
      <c r="J13" s="26">
        <v>25044978</v>
      </c>
      <c r="K13" s="40">
        <v>12555860</v>
      </c>
    </row>
    <row r="14" spans="1:19" x14ac:dyDescent="0.25">
      <c r="F14" s="41">
        <v>88725074</v>
      </c>
      <c r="G14" s="42">
        <v>0.05</v>
      </c>
      <c r="H14" s="42">
        <v>0.06</v>
      </c>
      <c r="I14" s="42">
        <v>0.47</v>
      </c>
      <c r="J14" s="42">
        <v>0.28000000000000003</v>
      </c>
      <c r="K14" s="43">
        <v>0.14000000000000001</v>
      </c>
    </row>
    <row r="15" spans="1:19" x14ac:dyDescent="0.25">
      <c r="A15" t="s">
        <v>53</v>
      </c>
      <c r="B15" t="s">
        <v>44</v>
      </c>
      <c r="C15">
        <v>4823506</v>
      </c>
      <c r="F15" s="39" t="s">
        <v>45</v>
      </c>
      <c r="G15" s="26">
        <v>5097340</v>
      </c>
      <c r="H15" s="26">
        <v>3895156</v>
      </c>
      <c r="I15" s="26">
        <v>57494500</v>
      </c>
      <c r="J15" s="26">
        <v>48213207</v>
      </c>
      <c r="K15" s="40">
        <v>15853154</v>
      </c>
    </row>
    <row r="16" spans="1:19" x14ac:dyDescent="0.25">
      <c r="F16" s="41">
        <v>130553357</v>
      </c>
      <c r="G16" s="42">
        <v>0.04</v>
      </c>
      <c r="H16" s="42">
        <v>0.03</v>
      </c>
      <c r="I16" s="42">
        <v>0.44</v>
      </c>
      <c r="J16" s="42">
        <v>0.37</v>
      </c>
      <c r="K16" s="43">
        <v>0.12</v>
      </c>
    </row>
    <row r="17" spans="1:11" x14ac:dyDescent="0.25">
      <c r="A17" t="s">
        <v>53</v>
      </c>
      <c r="B17" t="s">
        <v>42</v>
      </c>
      <c r="C17">
        <v>5571445</v>
      </c>
      <c r="F17" s="39" t="s">
        <v>44</v>
      </c>
      <c r="G17" s="26">
        <v>4823506</v>
      </c>
      <c r="H17" s="26">
        <v>5592450</v>
      </c>
      <c r="I17" s="26">
        <v>51690950</v>
      </c>
      <c r="J17" s="26">
        <v>51107836</v>
      </c>
      <c r="K17" s="40">
        <v>18510280</v>
      </c>
    </row>
    <row r="18" spans="1:11" x14ac:dyDescent="0.25">
      <c r="F18" s="41">
        <v>131725022</v>
      </c>
      <c r="G18" s="42">
        <v>0.04</v>
      </c>
      <c r="H18" s="42">
        <v>0.04</v>
      </c>
      <c r="I18" s="42">
        <v>0.39</v>
      </c>
      <c r="J18" s="42">
        <v>0.39</v>
      </c>
      <c r="K18" s="43">
        <v>0.14000000000000001</v>
      </c>
    </row>
    <row r="19" spans="1:11" x14ac:dyDescent="0.25">
      <c r="A19" t="s">
        <v>36</v>
      </c>
      <c r="B19" t="s">
        <v>51</v>
      </c>
      <c r="C19">
        <v>3537545</v>
      </c>
      <c r="F19" s="44" t="s">
        <v>42</v>
      </c>
      <c r="G19" s="45">
        <v>5571445</v>
      </c>
      <c r="H19" s="46"/>
      <c r="I19" s="46"/>
      <c r="J19" s="46"/>
      <c r="K19" s="47">
        <v>27886449</v>
      </c>
    </row>
    <row r="20" spans="1:11" x14ac:dyDescent="0.25">
      <c r="A20" t="s">
        <v>36</v>
      </c>
      <c r="B20" t="s">
        <v>50</v>
      </c>
      <c r="C20">
        <v>3530157</v>
      </c>
    </row>
    <row r="21" spans="1:11" x14ac:dyDescent="0.25">
      <c r="A21" t="s">
        <v>36</v>
      </c>
      <c r="B21" t="s">
        <v>49</v>
      </c>
      <c r="C21">
        <v>2857413</v>
      </c>
    </row>
    <row r="22" spans="1:11" x14ac:dyDescent="0.25">
      <c r="A22" t="s">
        <v>36</v>
      </c>
      <c r="B22" t="s">
        <v>48</v>
      </c>
      <c r="C22">
        <v>3247366</v>
      </c>
    </row>
    <row r="23" spans="1:11" x14ac:dyDescent="0.25">
      <c r="A23" t="s">
        <v>36</v>
      </c>
      <c r="B23" t="s">
        <v>47</v>
      </c>
      <c r="C23">
        <v>4050362</v>
      </c>
    </row>
    <row r="24" spans="1:11" x14ac:dyDescent="0.25">
      <c r="A24" t="s">
        <v>36</v>
      </c>
      <c r="B24" t="s">
        <v>46</v>
      </c>
      <c r="C24">
        <v>5018874</v>
      </c>
    </row>
    <row r="25" spans="1:11" x14ac:dyDescent="0.25">
      <c r="A25" t="s">
        <v>36</v>
      </c>
      <c r="B25" t="s">
        <v>45</v>
      </c>
      <c r="C25">
        <v>3895156</v>
      </c>
      <c r="F25" s="18" t="s">
        <v>54</v>
      </c>
      <c r="G25" s="37" t="s">
        <v>53</v>
      </c>
      <c r="H25" s="37" t="s">
        <v>36</v>
      </c>
      <c r="I25" s="37" t="s">
        <v>37</v>
      </c>
      <c r="J25" s="37" t="s">
        <v>55</v>
      </c>
      <c r="K25" s="38" t="s">
        <v>43</v>
      </c>
    </row>
    <row r="26" spans="1:11" x14ac:dyDescent="0.25">
      <c r="A26" t="s">
        <v>36</v>
      </c>
      <c r="B26" t="s">
        <v>44</v>
      </c>
      <c r="C26">
        <v>5592450</v>
      </c>
      <c r="F26" s="39" t="s">
        <v>48</v>
      </c>
      <c r="G26" s="26">
        <v>4036130</v>
      </c>
      <c r="H26" s="26">
        <v>3247366</v>
      </c>
      <c r="I26" s="26">
        <v>60525805</v>
      </c>
      <c r="J26" s="26">
        <v>46217911</v>
      </c>
      <c r="K26" s="40">
        <v>17644277</v>
      </c>
    </row>
    <row r="27" spans="1:11" x14ac:dyDescent="0.25">
      <c r="A27" t="s">
        <v>37</v>
      </c>
      <c r="B27" t="s">
        <v>51</v>
      </c>
      <c r="C27">
        <v>43462323</v>
      </c>
      <c r="F27" s="39" t="s">
        <v>44</v>
      </c>
      <c r="G27" s="26">
        <v>4823506</v>
      </c>
      <c r="H27" s="26">
        <v>5592450</v>
      </c>
      <c r="I27" s="26">
        <v>51690950</v>
      </c>
      <c r="J27" s="26">
        <v>51107836</v>
      </c>
      <c r="K27" s="40">
        <v>18510280</v>
      </c>
    </row>
    <row r="28" spans="1:11" x14ac:dyDescent="0.25">
      <c r="A28" t="s">
        <v>37</v>
      </c>
      <c r="B28" t="s">
        <v>50</v>
      </c>
      <c r="C28">
        <v>56860704</v>
      </c>
      <c r="F28" s="44" t="s">
        <v>41</v>
      </c>
      <c r="G28" s="48">
        <f t="shared" ref="G28:H28" si="0">(G27-G26)/G26</f>
        <v>0.19508192253470527</v>
      </c>
      <c r="H28" s="48">
        <f t="shared" si="0"/>
        <v>0.72214958215365932</v>
      </c>
      <c r="I28" s="48">
        <f>(I27-I26)/I26</f>
        <v>-0.14596840141159625</v>
      </c>
      <c r="J28" s="48">
        <f t="shared" ref="J28:K28" si="1">(J27-J26)/J26</f>
        <v>0.10580151491485627</v>
      </c>
      <c r="K28" s="48">
        <f t="shared" si="1"/>
        <v>4.9081240336455841E-2</v>
      </c>
    </row>
    <row r="29" spans="1:11" x14ac:dyDescent="0.25">
      <c r="A29" t="s">
        <v>37</v>
      </c>
      <c r="B29" t="s">
        <v>49</v>
      </c>
      <c r="C29">
        <v>58395811</v>
      </c>
    </row>
    <row r="30" spans="1:11" x14ac:dyDescent="0.25">
      <c r="A30" t="s">
        <v>37</v>
      </c>
      <c r="B30" t="s">
        <v>48</v>
      </c>
      <c r="C30">
        <v>60525805</v>
      </c>
    </row>
    <row r="31" spans="1:11" x14ac:dyDescent="0.25">
      <c r="A31" t="s">
        <v>37</v>
      </c>
      <c r="B31" t="s">
        <v>47</v>
      </c>
      <c r="C31">
        <v>59037179</v>
      </c>
      <c r="F31" s="28" t="s">
        <v>54</v>
      </c>
      <c r="G31" s="28" t="s">
        <v>53</v>
      </c>
      <c r="H31" s="28" t="s">
        <v>36</v>
      </c>
      <c r="I31" s="28" t="s">
        <v>37</v>
      </c>
      <c r="J31" s="28" t="s">
        <v>52</v>
      </c>
      <c r="K31" s="28" t="s">
        <v>43</v>
      </c>
    </row>
    <row r="32" spans="1:11" x14ac:dyDescent="0.25">
      <c r="A32" t="s">
        <v>37</v>
      </c>
      <c r="B32" t="s">
        <v>46</v>
      </c>
      <c r="C32">
        <v>41409448</v>
      </c>
      <c r="F32" s="49" t="s">
        <v>48</v>
      </c>
      <c r="G32" s="36">
        <v>4036130</v>
      </c>
      <c r="H32" s="36">
        <v>3247366</v>
      </c>
      <c r="I32" s="36">
        <v>60525805</v>
      </c>
      <c r="J32" s="36">
        <v>46217911</v>
      </c>
      <c r="K32" s="36">
        <v>17644277</v>
      </c>
    </row>
    <row r="33" spans="1:11" x14ac:dyDescent="0.25">
      <c r="A33" t="s">
        <v>37</v>
      </c>
      <c r="B33" t="s">
        <v>45</v>
      </c>
      <c r="C33">
        <v>57494500</v>
      </c>
      <c r="F33" s="49" t="s">
        <v>47</v>
      </c>
      <c r="G33" s="36">
        <v>5279608</v>
      </c>
      <c r="H33" s="36">
        <v>4050362</v>
      </c>
      <c r="I33" s="36">
        <v>59037179</v>
      </c>
      <c r="J33" s="36">
        <v>43861066</v>
      </c>
      <c r="K33" s="36">
        <v>22150287</v>
      </c>
    </row>
    <row r="34" spans="1:11" x14ac:dyDescent="0.25">
      <c r="A34" t="s">
        <v>37</v>
      </c>
      <c r="B34" t="s">
        <v>44</v>
      </c>
      <c r="C34">
        <v>51690950</v>
      </c>
      <c r="F34" s="49" t="s">
        <v>46</v>
      </c>
      <c r="G34" s="36">
        <v>4695914</v>
      </c>
      <c r="H34" s="36">
        <v>5018874</v>
      </c>
      <c r="I34" s="36">
        <v>41409448</v>
      </c>
      <c r="J34" s="36">
        <v>25044978</v>
      </c>
      <c r="K34" s="36">
        <v>12555860</v>
      </c>
    </row>
    <row r="35" spans="1:11" x14ac:dyDescent="0.25">
      <c r="A35" t="s">
        <v>52</v>
      </c>
      <c r="B35" t="s">
        <v>51</v>
      </c>
      <c r="C35">
        <v>37785927</v>
      </c>
      <c r="F35" s="49" t="s">
        <v>45</v>
      </c>
      <c r="G35" s="36">
        <v>5097340</v>
      </c>
      <c r="H35" s="36">
        <v>3895156</v>
      </c>
      <c r="I35" s="36">
        <v>57494500</v>
      </c>
      <c r="J35" s="36">
        <v>48213207</v>
      </c>
      <c r="K35" s="36">
        <v>15853154</v>
      </c>
    </row>
    <row r="36" spans="1:11" x14ac:dyDescent="0.25">
      <c r="A36" t="s">
        <v>52</v>
      </c>
      <c r="B36" t="s">
        <v>50</v>
      </c>
      <c r="C36">
        <v>55263891</v>
      </c>
      <c r="F36" s="49" t="s">
        <v>44</v>
      </c>
      <c r="G36" s="36">
        <v>4823506</v>
      </c>
      <c r="H36" s="36">
        <v>5592450</v>
      </c>
      <c r="I36" s="36">
        <v>51690950</v>
      </c>
      <c r="J36" s="36">
        <v>51107836</v>
      </c>
      <c r="K36" s="36">
        <v>18510280</v>
      </c>
    </row>
    <row r="37" spans="1:11" x14ac:dyDescent="0.25">
      <c r="A37" t="s">
        <v>52</v>
      </c>
      <c r="B37" t="s">
        <v>49</v>
      </c>
      <c r="C37">
        <v>48780407</v>
      </c>
    </row>
    <row r="38" spans="1:11" x14ac:dyDescent="0.25">
      <c r="A38" t="s">
        <v>52</v>
      </c>
      <c r="B38" t="s">
        <v>48</v>
      </c>
      <c r="C38">
        <v>46217911</v>
      </c>
    </row>
    <row r="39" spans="1:11" x14ac:dyDescent="0.25">
      <c r="A39" t="s">
        <v>52</v>
      </c>
      <c r="B39" t="s">
        <v>47</v>
      </c>
      <c r="C39">
        <v>43861066</v>
      </c>
    </row>
    <row r="40" spans="1:11" x14ac:dyDescent="0.25">
      <c r="A40" t="s">
        <v>52</v>
      </c>
      <c r="B40" t="s">
        <v>46</v>
      </c>
      <c r="C40">
        <v>25044978</v>
      </c>
    </row>
    <row r="41" spans="1:11" x14ac:dyDescent="0.25">
      <c r="A41" t="s">
        <v>52</v>
      </c>
      <c r="B41" t="s">
        <v>45</v>
      </c>
      <c r="C41">
        <v>48213207</v>
      </c>
    </row>
    <row r="42" spans="1:11" x14ac:dyDescent="0.25">
      <c r="A42" t="s">
        <v>52</v>
      </c>
      <c r="B42" t="s">
        <v>44</v>
      </c>
      <c r="C42">
        <v>51107836</v>
      </c>
    </row>
    <row r="43" spans="1:11" x14ac:dyDescent="0.25">
      <c r="A43" t="s">
        <v>43</v>
      </c>
      <c r="B43" t="s">
        <v>51</v>
      </c>
      <c r="C43">
        <v>18518045</v>
      </c>
    </row>
    <row r="44" spans="1:11" x14ac:dyDescent="0.25">
      <c r="A44" t="s">
        <v>43</v>
      </c>
      <c r="B44" t="s">
        <v>50</v>
      </c>
      <c r="C44">
        <v>19459727</v>
      </c>
    </row>
    <row r="45" spans="1:11" x14ac:dyDescent="0.25">
      <c r="A45" t="s">
        <v>43</v>
      </c>
      <c r="B45" t="s">
        <v>49</v>
      </c>
      <c r="C45">
        <v>19776942</v>
      </c>
    </row>
    <row r="46" spans="1:11" x14ac:dyDescent="0.25">
      <c r="A46" t="s">
        <v>43</v>
      </c>
      <c r="B46" t="s">
        <v>48</v>
      </c>
      <c r="C46">
        <v>17644277</v>
      </c>
    </row>
    <row r="47" spans="1:11" x14ac:dyDescent="0.25">
      <c r="A47" t="s">
        <v>43</v>
      </c>
      <c r="B47" t="s">
        <v>47</v>
      </c>
      <c r="C47">
        <v>22150287</v>
      </c>
    </row>
    <row r="48" spans="1:11" x14ac:dyDescent="0.25">
      <c r="A48" t="s">
        <v>43</v>
      </c>
      <c r="B48" t="s">
        <v>46</v>
      </c>
      <c r="C48">
        <v>12555860</v>
      </c>
    </row>
    <row r="49" spans="1:3" x14ac:dyDescent="0.25">
      <c r="A49" t="s">
        <v>43</v>
      </c>
      <c r="B49" t="s">
        <v>45</v>
      </c>
      <c r="C49">
        <v>15853154</v>
      </c>
    </row>
    <row r="50" spans="1:3" x14ac:dyDescent="0.25">
      <c r="A50" t="s">
        <v>43</v>
      </c>
      <c r="B50" t="s">
        <v>44</v>
      </c>
      <c r="C50">
        <v>18510280</v>
      </c>
    </row>
    <row r="51" spans="1:3" x14ac:dyDescent="0.25">
      <c r="A51" t="s">
        <v>43</v>
      </c>
      <c r="B51" t="s">
        <v>42</v>
      </c>
      <c r="C51">
        <v>27886449</v>
      </c>
    </row>
  </sheetData>
  <mergeCells count="1">
    <mergeCell ref="N12:S12"/>
  </mergeCells>
  <pageMargins left="0.7" right="0.7" top="0.75" bottom="0.75" header="0.3" footer="0.3"/>
  <drawing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22816-9339-49F7-B5A9-3AF8F7F8C0B7}">
  <dimension ref="C2:N27"/>
  <sheetViews>
    <sheetView tabSelected="1" topLeftCell="C1" workbookViewId="0">
      <selection activeCell="M7" sqref="M7"/>
    </sheetView>
  </sheetViews>
  <sheetFormatPr baseColWidth="10" defaultRowHeight="15" x14ac:dyDescent="0.25"/>
  <cols>
    <col min="6" max="6" width="11.5703125" customWidth="1"/>
    <col min="7" max="7" width="14.5703125" customWidth="1"/>
    <col min="10" max="10" width="11.5703125" customWidth="1"/>
    <col min="11" max="11" width="12.140625" customWidth="1"/>
    <col min="12" max="13" width="17.140625" customWidth="1"/>
  </cols>
  <sheetData>
    <row r="2" spans="6:14" x14ac:dyDescent="0.25">
      <c r="F2" s="8" t="s">
        <v>54</v>
      </c>
      <c r="G2" s="9" t="s">
        <v>53</v>
      </c>
      <c r="H2" s="9" t="s">
        <v>36</v>
      </c>
      <c r="I2" s="9" t="s">
        <v>37</v>
      </c>
      <c r="J2" s="9" t="s">
        <v>52</v>
      </c>
      <c r="K2" s="9" t="s">
        <v>43</v>
      </c>
      <c r="L2" s="9" t="s">
        <v>59</v>
      </c>
      <c r="M2" s="10" t="s">
        <v>60</v>
      </c>
      <c r="N2" s="9" t="s">
        <v>62</v>
      </c>
    </row>
    <row r="3" spans="6:14" x14ac:dyDescent="0.25">
      <c r="F3" s="11">
        <v>2021</v>
      </c>
      <c r="G3" s="12">
        <v>4036130</v>
      </c>
      <c r="H3" s="12">
        <v>3247366</v>
      </c>
      <c r="I3" s="12">
        <v>60525805</v>
      </c>
      <c r="J3" s="12">
        <v>46217911</v>
      </c>
      <c r="K3" s="12">
        <v>17644277</v>
      </c>
      <c r="L3" s="13">
        <f t="shared" ref="L3:L7" si="0">SUM(G3:K3)/1000</f>
        <v>131671.489</v>
      </c>
      <c r="M3" s="14">
        <v>101902</v>
      </c>
      <c r="N3" s="50">
        <f>Tabla5[[#This Row],[Cantidades exportadas]]/Tabla5[[#This Row],[Cantidades producidas]]</f>
        <v>0.77391089577486283</v>
      </c>
    </row>
    <row r="4" spans="6:14" x14ac:dyDescent="0.25">
      <c r="F4" s="11">
        <v>2022</v>
      </c>
      <c r="G4" s="12">
        <v>5279608</v>
      </c>
      <c r="H4" s="12">
        <v>4050362</v>
      </c>
      <c r="I4" s="12">
        <v>59037179</v>
      </c>
      <c r="J4" s="12">
        <v>43861066</v>
      </c>
      <c r="K4" s="12">
        <v>22150287</v>
      </c>
      <c r="L4" s="13">
        <f t="shared" si="0"/>
        <v>134378.50200000001</v>
      </c>
      <c r="M4" s="14">
        <v>96114</v>
      </c>
      <c r="N4" s="50">
        <f>Tabla5[[#This Row],[Cantidades exportadas]]/Tabla5[[#This Row],[Cantidades producidas]]</f>
        <v>0.71524833637451912</v>
      </c>
    </row>
    <row r="5" spans="6:14" x14ac:dyDescent="0.25">
      <c r="F5" s="11">
        <v>2023</v>
      </c>
      <c r="G5" s="12">
        <v>4695914</v>
      </c>
      <c r="H5" s="12">
        <v>5018874</v>
      </c>
      <c r="I5" s="12">
        <v>41409448</v>
      </c>
      <c r="J5" s="12">
        <v>25044978</v>
      </c>
      <c r="K5" s="12">
        <v>12555860</v>
      </c>
      <c r="L5" s="13">
        <f t="shared" si="0"/>
        <v>88725.073999999993</v>
      </c>
      <c r="M5" s="14">
        <v>57018</v>
      </c>
      <c r="N5" s="50">
        <f>Tabla5[[#This Row],[Cantidades exportadas]]/Tabla5[[#This Row],[Cantidades producidas]]</f>
        <v>0.64263682665398514</v>
      </c>
    </row>
    <row r="6" spans="6:14" x14ac:dyDescent="0.25">
      <c r="F6" s="11">
        <v>2024</v>
      </c>
      <c r="G6" s="12">
        <v>5097340</v>
      </c>
      <c r="H6" s="12">
        <v>3895156</v>
      </c>
      <c r="I6" s="12">
        <v>57494500</v>
      </c>
      <c r="J6" s="12">
        <v>48213207</v>
      </c>
      <c r="K6" s="12">
        <v>15853154</v>
      </c>
      <c r="L6" s="13">
        <f t="shared" si="0"/>
        <v>130553.357</v>
      </c>
      <c r="M6" s="14">
        <v>91281</v>
      </c>
      <c r="N6" s="50">
        <f>Tabla5[[#This Row],[Cantidades exportadas]]/Tabla5[[#This Row],[Cantidades producidas]]</f>
        <v>0.69918539130326607</v>
      </c>
    </row>
    <row r="7" spans="6:14" x14ac:dyDescent="0.25">
      <c r="F7" s="11">
        <v>2025</v>
      </c>
      <c r="G7" s="15">
        <v>4823506</v>
      </c>
      <c r="H7" s="15">
        <v>5592450</v>
      </c>
      <c r="I7" s="15">
        <v>51690950</v>
      </c>
      <c r="J7" s="15">
        <v>51107836</v>
      </c>
      <c r="K7" s="15">
        <v>18510280</v>
      </c>
      <c r="L7" s="16">
        <f t="shared" si="0"/>
        <v>131725.022</v>
      </c>
      <c r="M7" s="17">
        <v>103088</v>
      </c>
      <c r="N7" s="50">
        <f>Tabla5[[#This Row],[Cantidades exportadas]]/Tabla5[[#This Row],[Cantidades producidas]]</f>
        <v>0.78259998316796642</v>
      </c>
    </row>
    <row r="12" spans="6:14" x14ac:dyDescent="0.25">
      <c r="F12" s="95" t="s">
        <v>61</v>
      </c>
      <c r="G12" s="96"/>
      <c r="H12" s="96"/>
      <c r="I12" s="96"/>
      <c r="J12" s="96"/>
      <c r="K12" s="96"/>
    </row>
    <row r="27" spans="3:3" x14ac:dyDescent="0.25">
      <c r="C27" t="s">
        <v>73</v>
      </c>
    </row>
  </sheetData>
  <mergeCells count="1">
    <mergeCell ref="F12:K12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Exportaciones</vt:lpstr>
      <vt:lpstr>Evolucion oleag y cerea</vt:lpstr>
      <vt:lpstr>Calculo deflactor</vt:lpstr>
      <vt:lpstr>Grandes rubros 2021-2025</vt:lpstr>
      <vt:lpstr>Produccion 2018 - 2025</vt:lpstr>
      <vt:lpstr>Cantidades expo vs prod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Valentino Pelliccetti</dc:creator>
  <cp:lastModifiedBy>Valentino Pelliccetti</cp:lastModifiedBy>
  <dcterms:created xsi:type="dcterms:W3CDTF">2026-06-01T13:09:21Z</dcterms:created>
  <dcterms:modified xsi:type="dcterms:W3CDTF">2026-07-26T20:39:01Z</dcterms:modified>
</cp:coreProperties>
</file>